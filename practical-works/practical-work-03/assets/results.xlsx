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9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xl/charts/chart12.xml" ContentType="application/vnd.openxmlformats-officedocument.drawingml.chart+xml"/>
  <Override PartName="/xl/charts/chart8.xml" ContentType="application/vnd.openxmlformats-officedocument.drawingml.chart+xml"/>
  <Override PartName="/xl/charts/chart1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Ответы" sheetId="1" state="visible" r:id="rId3"/>
    <sheet name="Диаграммы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<sst xmlns="http://schemas.openxmlformats.org/spreadsheetml/2006/main" count="340" uniqueCount="143">
  <si>
    <t xml:space="preserve">Отметка времени</t>
  </si>
  <si>
    <t xml:space="preserve">Ваш возраст?</t>
  </si>
  <si>
    <t xml:space="preserve">Род деятельности?</t>
  </si>
  <si>
    <t xml:space="preserve">Как часто вы читаете книги?</t>
  </si>
  <si>
    <t xml:space="preserve">Сколько книг вы прочитываете за год?</t>
  </si>
  <si>
    <t xml:space="preserve">В каком формате вы читаете?</t>
  </si>
  <si>
    <t xml:space="preserve">Где и когда вы чаще всего читаете или выбираете, что читать?</t>
  </si>
  <si>
    <t xml:space="preserve">С какой целью вы читаете?</t>
  </si>
  <si>
    <t xml:space="preserve">Откуда вы обычно узнаёте о новых книгах?</t>
  </si>
  <si>
    <t xml:space="preserve">Насколько вам сложно выбрать, что прочитать дальше?</t>
  </si>
  <si>
    <t xml:space="preserve">С какими трудностями вы сталкиваетесь при выборе книги?</t>
  </si>
  <si>
    <t xml:space="preserve">Какие жанры вам интересны?</t>
  </si>
  <si>
    <t xml:space="preserve">Пользовались ли вы раньше сервисами рекомендации книг?</t>
  </si>
  <si>
    <t xml:space="preserve">Что для вас важнее всего в сервисе рекомендации книг?</t>
  </si>
  <si>
    <t xml:space="preserve">Как вам удобнее пользоваться таким сервисом?</t>
  </si>
  <si>
    <t xml:space="preserve">35-44</t>
  </si>
  <si>
    <t xml:space="preserve">Работаю</t>
  </si>
  <si>
    <t xml:space="preserve">Несколько раз в год</t>
  </si>
  <si>
    <t xml:space="preserve">3-6</t>
  </si>
  <si>
    <t xml:space="preserve">Бумажные книги</t>
  </si>
  <si>
    <t xml:space="preserve">В отпуске / на выходных</t>
  </si>
  <si>
    <t xml:space="preserve">Для удовольствия и отдыха</t>
  </si>
  <si>
    <t xml:space="preserve">Рейтинги и подборки на сайтах</t>
  </si>
  <si>
    <t xml:space="preserve">Совсем не сложно</t>
  </si>
  <si>
    <t xml:space="preserve">Мало времени на поиск, Трудностей нет</t>
  </si>
  <si>
    <t xml:space="preserve">Романы</t>
  </si>
  <si>
    <t xml:space="preserve">Пробовал(а) несколько раз</t>
  </si>
  <si>
    <t xml:space="preserve">Точность рекомендаций под мои вкусы</t>
  </si>
  <si>
    <t xml:space="preserve">Мобильное приложение</t>
  </si>
  <si>
    <t xml:space="preserve">18-24</t>
  </si>
  <si>
    <t xml:space="preserve">Студент</t>
  </si>
  <si>
    <t xml:space="preserve">Практически не читаю</t>
  </si>
  <si>
    <t xml:space="preserve">0-2</t>
  </si>
  <si>
    <t xml:space="preserve">Во время отдыха</t>
  </si>
  <si>
    <t xml:space="preserve">Для учёбы или работы</t>
  </si>
  <si>
    <t xml:space="preserve">Случайно, по обложке или названию</t>
  </si>
  <si>
    <t xml:space="preserve">Трудностей нет</t>
  </si>
  <si>
    <t xml:space="preserve">Фантастика и фэнтези, Бизнес и саморазвитие</t>
  </si>
  <si>
    <t xml:space="preserve">Да, пользуюсь регулярно</t>
  </si>
  <si>
    <t xml:space="preserve">Бесплатное использование</t>
  </si>
  <si>
    <t xml:space="preserve">До 18 лет</t>
  </si>
  <si>
    <t xml:space="preserve">Не читаю</t>
  </si>
  <si>
    <t xml:space="preserve">Чтобы скоротать время</t>
  </si>
  <si>
    <t xml:space="preserve">Советы друзей и близких</t>
  </si>
  <si>
    <t xml:space="preserve">Учебная и профессиональная литература</t>
  </si>
  <si>
    <t xml:space="preserve">Нет, не знал(а) о них</t>
  </si>
  <si>
    <t xml:space="preserve">Простой и понятный интерфейс</t>
  </si>
  <si>
    <t xml:space="preserve">Без разницы</t>
  </si>
  <si>
    <t xml:space="preserve">Несколько раз в месяц</t>
  </si>
  <si>
    <t xml:space="preserve">Бумажные книги, Аудиокниги</t>
  </si>
  <si>
    <t xml:space="preserve">Фантастика и фэнтези, Классическая литература</t>
  </si>
  <si>
    <t xml:space="preserve">Нет, но слышал(а) о таких</t>
  </si>
  <si>
    <t xml:space="preserve">Отзывы и оценки других читателей, Возможность вести список прочитанного и «хочу прочитать»</t>
  </si>
  <si>
    <t xml:space="preserve">Сайт в браузере</t>
  </si>
  <si>
    <t xml:space="preserve">Электронные книги</t>
  </si>
  <si>
    <t xml:space="preserve">Во время отдыха, Перед сном, В отпуске / на выходных</t>
  </si>
  <si>
    <t xml:space="preserve">Для удовольствия и отдыха, Для саморазвития</t>
  </si>
  <si>
    <t xml:space="preserve">Советы друзей и близких, Соцсети и блогеры, Рейтинги и подборки на сайтах, Случайно, по обложке или названию</t>
  </si>
  <si>
    <t xml:space="preserve">Скорее не сложно</t>
  </si>
  <si>
    <t xml:space="preserve">Фантастика и фэнтези, Детективы, Романы, Бизнес и саморазвитие</t>
  </si>
  <si>
    <t xml:space="preserve">Точность рекомендаций под мои вкусы, Возможность вести список прочитанного и «хочу прочитать», Подборки по настроению или теме</t>
  </si>
  <si>
    <t xml:space="preserve">В перерывах между учёбой или работой</t>
  </si>
  <si>
    <t xml:space="preserve">Для учёбы или работы, Для саморазвития</t>
  </si>
  <si>
    <t xml:space="preserve">Не знаю, что подойдёт именно мне, Рекомендации не совпадают с моими вкусами, Мало времени на поиск</t>
  </si>
  <si>
    <t xml:space="preserve">Фантастика и фэнтези, Детективы, Романы, Классическая литература, Научно-популярная литература</t>
  </si>
  <si>
    <t xml:space="preserve">Возможность сразу купить или скачать книгу, Бесплатное использование, Возможность вести список прочитанного и «хочу прочитать»</t>
  </si>
  <si>
    <t xml:space="preserve">Школьник</t>
  </si>
  <si>
    <t xml:space="preserve">Перед сном, В перерывах между учёбой или работой</t>
  </si>
  <si>
    <t xml:space="preserve">Советы друзей и близких, Соцсети и блогеры</t>
  </si>
  <si>
    <t xml:space="preserve">Скорее сложно</t>
  </si>
  <si>
    <t xml:space="preserve">Сложно найти книгу нужной тематики</t>
  </si>
  <si>
    <t xml:space="preserve">Фантастика и фэнтези, Детективы</t>
  </si>
  <si>
    <t xml:space="preserve">Точность рекомендаций под мои вкусы, Простой и понятный интерфейс, Отзывы и оценки других читателей, Возможность вести список прочитанного и «хочу прочитать», Подборки по настроению или теме</t>
  </si>
  <si>
    <t xml:space="preserve">Во время отдыха, В отпуске / на выходных</t>
  </si>
  <si>
    <t xml:space="preserve">Советы друзей и близких, Соцсети и блогеры, Рекомендации в приложениях</t>
  </si>
  <si>
    <t xml:space="preserve">Не знаю, что подойдёт именно мне, Боюсь разочароваться и потратить деньги или время впустую</t>
  </si>
  <si>
    <t xml:space="preserve">Бизнес и саморазвитие, Учебная и профессиональная литература</t>
  </si>
  <si>
    <t xml:space="preserve">Точность рекомендаций под мои вкусы, Простой и понятный интерфейс, Возможность сразу купить или скачать книгу, Бесплатное использование, Возможность вести список прочитанного и «хочу прочитать»</t>
  </si>
  <si>
    <t xml:space="preserve">Бумажные книги, Электронные книги, Аудиокниги, Не читаю, Хз</t>
  </si>
  <si>
    <t xml:space="preserve">Во время отдыха, Перед сном, В дороге, В перерывах между учёбой или работой, В отпуске / на выходных</t>
  </si>
  <si>
    <t xml:space="preserve">Для удовольствия и отдыха, Для учёбы или работы, Для саморазвития, Чтобы скоротать время, Чтобы обсуждать прочитанное с друзьями</t>
  </si>
  <si>
    <t xml:space="preserve">Советы друзей и близких, Соцсети и блогеры, Книжные магазины и библиотеки, Рейтинги и подборки на сайтах, Рекомендации в приложениях, Случайно, по обложке или названию</t>
  </si>
  <si>
    <t xml:space="preserve">Очень сложно</t>
  </si>
  <si>
    <t xml:space="preserve">Не знаю, что подойдёт именно мне, Рекомендации не совпадают с моими вкусами, Мало времени на поиск, Боюсь разочароваться и потратить деньги или время впустую, Сложно найти книгу нужной тематики, Трудностей нет</t>
  </si>
  <si>
    <t xml:space="preserve">Фантастика и фэнтези, Детективы, Романы, Современная проза, Триллеры, Классическая литература, Научно-популярная литература, Бизнес и саморазвитие, Учебная и профессиональная литература</t>
  </si>
  <si>
    <t xml:space="preserve">Точность рекомендаций под мои вкусы, Простой и понятный интерфейс, Отзывы и оценки других читателей, Возможность сразу купить или скачать книгу, Бесплатное использование, Возможность вести список прочитанного и «хочу прочитать», Подборки по настроению или теме, Общение с другими читателями</t>
  </si>
  <si>
    <t xml:space="preserve">Для удовольствия и отдыха, Чтобы обсуждать прочитанное с друзьями</t>
  </si>
  <si>
    <t xml:space="preserve">Соцсети и блогеры</t>
  </si>
  <si>
    <t xml:space="preserve">Фантастика и фэнтези, Детективы, Триллеры</t>
  </si>
  <si>
    <t xml:space="preserve">Точность рекомендаций под мои вкусы, Подборки по настроению или теме</t>
  </si>
  <si>
    <t xml:space="preserve">Перед сном, В дороге</t>
  </si>
  <si>
    <t xml:space="preserve">Для саморазвития, Чтобы скоротать время</t>
  </si>
  <si>
    <t xml:space="preserve">Боюсь разочароваться и потратить деньги или время впустую</t>
  </si>
  <si>
    <t xml:space="preserve">Фантастика и фэнтези, Бизнес и саморазвитие, Учебная и профессиональная литература</t>
  </si>
  <si>
    <t xml:space="preserve">Точность рекомендаций под мои вкусы, Простой и понятный интерфейс, Отзывы и оценки других читателей, Бесплатное использование, Возможность вести список прочитанного и «хочу прочитать», Подборки по настроению или теме, Общение с другими читателями</t>
  </si>
  <si>
    <t xml:space="preserve">Электронные книги, Аудиокниги</t>
  </si>
  <si>
    <t xml:space="preserve">В дороге</t>
  </si>
  <si>
    <t xml:space="preserve">Для удовольствия и отдыха, Чтобы скоротать время</t>
  </si>
  <si>
    <t xml:space="preserve">Рейтинги и подборки на сайтах, Рекомендации в приложениях</t>
  </si>
  <si>
    <t xml:space="preserve">Рекомендации не совпадают с моими вкусами, Сложно найти книгу нужной тематики</t>
  </si>
  <si>
    <t xml:space="preserve">Фантастика и фэнтези, Романы</t>
  </si>
  <si>
    <t xml:space="preserve">Простой и понятный интерфейс, Отзывы и оценки других читателей, Возможность вести список прочитанного и «хочу прочитать»</t>
  </si>
  <si>
    <t xml:space="preserve">1. Ваш возраст?</t>
  </si>
  <si>
    <t xml:space="preserve">Всего респондентов:</t>
  </si>
  <si>
    <t xml:space="preserve">Вариант ответа</t>
  </si>
  <si>
    <t xml:space="preserve">Кол-во</t>
  </si>
  <si>
    <t xml:space="preserve">% респ.</t>
  </si>
  <si>
    <t xml:space="preserve">2. Род деятельности?</t>
  </si>
  <si>
    <t xml:space="preserve">3. Как часто вы читаете книги?</t>
  </si>
  <si>
    <t xml:space="preserve">4. Сколько книг вы прочитываете за год?</t>
  </si>
  <si>
    <t xml:space="preserve">5. В каком формате вы читаете?</t>
  </si>
  <si>
    <t xml:space="preserve">можно несколько вариантов</t>
  </si>
  <si>
    <t xml:space="preserve">Аудиокниги</t>
  </si>
  <si>
    <t xml:space="preserve">Хз</t>
  </si>
  <si>
    <t xml:space="preserve">6. Где и когда вы чаще всего читаете или выбираете, что читать?</t>
  </si>
  <si>
    <t xml:space="preserve">Перед сном</t>
  </si>
  <si>
    <t xml:space="preserve">7. С какой целью вы читаете?</t>
  </si>
  <si>
    <t xml:space="preserve">Для саморазвития</t>
  </si>
  <si>
    <t xml:space="preserve">Чтобы обсуждать прочитанное с друзьями</t>
  </si>
  <si>
    <t xml:space="preserve">8. Откуда вы обычно узнаёте о новых книгах?</t>
  </si>
  <si>
    <t xml:space="preserve">Рекомендации в приложениях</t>
  </si>
  <si>
    <t xml:space="preserve">Книжные магазины и библиотеки</t>
  </si>
  <si>
    <t xml:space="preserve">9. Насколько вам сложно выбрать, что прочитать дальше?</t>
  </si>
  <si>
    <t xml:space="preserve">10. С какими трудностями вы сталкиваетесь при выборе книги?</t>
  </si>
  <si>
    <t xml:space="preserve">Мало времени на поиск</t>
  </si>
  <si>
    <t xml:space="preserve">Не знаю, что подойдёт именно мне</t>
  </si>
  <si>
    <t xml:space="preserve">Рекомендации не совпадают с моими вкусами</t>
  </si>
  <si>
    <t xml:space="preserve">11. Какие жанры вам интересны?</t>
  </si>
  <si>
    <t xml:space="preserve">Фантастика и фэнтези</t>
  </si>
  <si>
    <t xml:space="preserve">Бизнес и саморазвитие</t>
  </si>
  <si>
    <t xml:space="preserve">Детективы</t>
  </si>
  <si>
    <t xml:space="preserve">Классическая литература</t>
  </si>
  <si>
    <t xml:space="preserve">Научно-популярная литература</t>
  </si>
  <si>
    <t xml:space="preserve">Триллеры</t>
  </si>
  <si>
    <t xml:space="preserve">Современная проза</t>
  </si>
  <si>
    <t xml:space="preserve">12. Пользовались ли вы раньше сервисами рекомендации книг?</t>
  </si>
  <si>
    <t xml:space="preserve">13. Что для вас важнее всего в сервисе рекомендации книг?</t>
  </si>
  <si>
    <t xml:space="preserve">Возможность вести список прочитанного и «хочу прочитать»</t>
  </si>
  <si>
    <t xml:space="preserve">Отзывы и оценки других читателей</t>
  </si>
  <si>
    <t xml:space="preserve">Подборки по настроению или теме</t>
  </si>
  <si>
    <t xml:space="preserve">Возможность сразу купить или скачать книгу</t>
  </si>
  <si>
    <t xml:space="preserve">Общение с другими читателями</t>
  </si>
  <si>
    <t xml:space="preserve">14. Как вам удобнее пользоваться таким сервисом?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</si>
</sst>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.mm\.yyyy\ hh:mm"/>
    <numFmt numFmtId="166" formatCode="General"/>
    <numFmt numFmtId="167" formatCode="0%"/>
    <numFmt numFmtId="168" formatCode="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i val="true"/>
      <sz val="11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87878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Ваш возраст?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Диаграммы!B3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Диаграммы!$A$4:$A$6</c:f>
              <c:strCache>
                <c:ptCount val="3"/>
                <c:pt idx="0">
                  <c:v>18-24</c:v>
                </c:pt>
                <c:pt idx="1">
                  <c:v>До 18 лет</c:v>
                </c:pt>
                <c:pt idx="2">
                  <c:v>35-44</c:v>
                </c:pt>
              </c:strCache>
            </c:strRef>
          </c:cat>
          <c:val>
            <c:numRef>
              <c:f>Диаграммы!$B$4:$B$6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2</c:v>
                </c:pt>
              </c:numCache>
            </c:numRef>
          </c:val>
        </c:ser>
        <c:gapWidth val="60"/>
        <c:overlap val="0"/>
        <c:axId val="32842895"/>
        <c:axId val="97835343"/>
      </c:barChart>
      <c:catAx>
        <c:axId val="3284289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835343"/>
        <c:crosses val="autoZero"/>
        <c:auto val="1"/>
        <c:lblAlgn val="ctr"/>
        <c:lblOffset val="100"/>
        <c:noMultiLvlLbl val="0"/>
      </c:catAx>
      <c:valAx>
        <c:axId val="978353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84289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Род деятельности?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Диаграммы!B20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Диаграммы!$A$21:$A$23</c:f>
              <c:strCache>
                <c:ptCount val="3"/>
                <c:pt idx="0">
                  <c:v>Студент</c:v>
                </c:pt>
                <c:pt idx="1">
                  <c:v>Работаю</c:v>
                </c:pt>
                <c:pt idx="2">
                  <c:v>Школьник</c:v>
                </c:pt>
              </c:strCache>
            </c:strRef>
          </c:cat>
          <c:val>
            <c:numRef>
              <c:f>Диаграммы!$B$21:$B$23</c:f>
              <c:numCache>
                <c:formatCode>General</c:formatCode>
                <c:ptCount val="3"/>
                <c:pt idx="0">
                  <c:v>10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</c:ser>
        <c:gapWidth val="60"/>
        <c:overlap val="0"/>
        <c:axId val="10881972"/>
        <c:axId val="79336798"/>
      </c:barChart>
      <c:catAx>
        <c:axId val="1088197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36798"/>
        <c:crosses val="autoZero"/>
        <c:auto val="1"/>
        <c:lblAlgn val="ctr"/>
        <c:lblOffset val="100"/>
        <c:noMultiLvlLbl val="0"/>
      </c:catAx>
      <c:valAx>
        <c:axId val="79336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81972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Как часто вы читаете книги?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Диаграммы!B37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Диаграммы!$A$38:$A$40</c:f>
              <c:strCache>
                <c:ptCount val="3"/>
                <c:pt idx="0">
                  <c:v>Несколько раз в месяц</c:v>
                </c:pt>
                <c:pt idx="1">
                  <c:v>Практически не читаю</c:v>
                </c:pt>
                <c:pt idx="2">
                  <c:v>Несколько раз в год</c:v>
                </c:pt>
              </c:strCache>
            </c:strRef>
          </c:cat>
          <c:val>
            <c:numRef>
              <c:f>Диаграммы!$B$38:$B$40</c:f>
              <c:numCache>
                <c:formatCode>General</c:formatCode>
                <c:ptCount val="3"/>
                <c:pt idx="0">
                  <c:v>6</c:v>
                </c:pt>
                <c:pt idx="1">
                  <c:v>4</c:v>
                </c:pt>
                <c:pt idx="2">
                  <c:v>3</c:v>
                </c:pt>
              </c:numCache>
            </c:numRef>
          </c:val>
        </c:ser>
        <c:gapWidth val="60"/>
        <c:overlap val="0"/>
        <c:axId val="17333910"/>
        <c:axId val="87549442"/>
      </c:barChart>
      <c:catAx>
        <c:axId val="1733391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549442"/>
        <c:crosses val="autoZero"/>
        <c:auto val="1"/>
        <c:lblAlgn val="ctr"/>
        <c:lblOffset val="100"/>
        <c:noMultiLvlLbl val="0"/>
      </c:catAx>
      <c:valAx>
        <c:axId val="8754944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33391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Сколько книг вы прочитываете за год?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Диаграммы!B54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Диаграммы!$A$55:$A$56</c:f>
              <c:strCache>
                <c:ptCount val="2"/>
                <c:pt idx="0">
                  <c:v>0-2</c:v>
                </c:pt>
                <c:pt idx="1">
                  <c:v>3-6</c:v>
                </c:pt>
              </c:strCache>
            </c:strRef>
          </c:cat>
          <c:val>
            <c:numRef>
              <c:f>Диаграммы!$B$55:$B$56</c:f>
              <c:numCache>
                <c:formatCode>General</c:formatCode>
                <c:ptCount val="2"/>
                <c:pt idx="0">
                  <c:v>7</c:v>
                </c:pt>
                <c:pt idx="1">
                  <c:v>6</c:v>
                </c:pt>
              </c:numCache>
            </c:numRef>
          </c:val>
        </c:ser>
        <c:gapWidth val="60"/>
        <c:overlap val="0"/>
        <c:axId val="26233019"/>
        <c:axId val="30587230"/>
      </c:barChart>
      <c:catAx>
        <c:axId val="2623301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587230"/>
        <c:crosses val="autoZero"/>
        <c:auto val="1"/>
        <c:lblAlgn val="ctr"/>
        <c:lblOffset val="100"/>
        <c:noMultiLvlLbl val="0"/>
      </c:catAx>
      <c:valAx>
        <c:axId val="3058723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233019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В каком формате вы читаете?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Диаграммы!B71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Диаграммы!$A$72:$A$76</c:f>
              <c:strCache>
                <c:ptCount val="5"/>
                <c:pt idx="0">
                  <c:v>Бумажные книги</c:v>
                </c:pt>
                <c:pt idx="1">
                  <c:v>Электронные книги</c:v>
                </c:pt>
                <c:pt idx="2">
                  <c:v>Аудиокниги</c:v>
                </c:pt>
                <c:pt idx="3">
                  <c:v>Не читаю</c:v>
                </c:pt>
                <c:pt idx="4">
                  <c:v>Хз</c:v>
                </c:pt>
              </c:strCache>
            </c:strRef>
          </c:cat>
          <c:val>
            <c:numRef>
              <c:f>Диаграммы!$B$72:$B$76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gapWidth val="60"/>
        <c:overlap val="0"/>
        <c:axId val="27698834"/>
        <c:axId val="95530369"/>
      </c:barChart>
      <c:catAx>
        <c:axId val="2769883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30369"/>
        <c:crosses val="autoZero"/>
        <c:auto val="1"/>
        <c:lblAlgn val="ctr"/>
        <c:lblOffset val="100"/>
        <c:noMultiLvlLbl val="0"/>
      </c:catAx>
      <c:valAx>
        <c:axId val="9553036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98834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Где и когда вы чаще всего читаете или выбираете, что читать?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Диаграммы!B88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Диаграммы!$A$89:$A$93</c:f>
              <c:strCache>
                <c:ptCount val="5"/>
                <c:pt idx="0">
                  <c:v>В отпуске / на выходных</c:v>
                </c:pt>
                <c:pt idx="1">
                  <c:v>Во время отдыха</c:v>
                </c:pt>
                <c:pt idx="2">
                  <c:v>Перед сном</c:v>
                </c:pt>
                <c:pt idx="3">
                  <c:v>В дороге</c:v>
                </c:pt>
                <c:pt idx="4">
                  <c:v>В перерывах между учёбой или работой</c:v>
                </c:pt>
              </c:strCache>
            </c:strRef>
          </c:cat>
          <c:val>
            <c:numRef>
              <c:f>Диаграммы!$B$89:$B$93</c:f>
              <c:numCache>
                <c:formatCode>General</c:formatCode>
                <c:ptCount val="5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</c:numCache>
            </c:numRef>
          </c:val>
        </c:ser>
        <c:gapWidth val="60"/>
        <c:overlap val="0"/>
        <c:axId val="67998748"/>
        <c:axId val="89028119"/>
      </c:barChart>
      <c:catAx>
        <c:axId val="67998748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028119"/>
        <c:crosses val="autoZero"/>
        <c:auto val="1"/>
        <c:lblAlgn val="ctr"/>
        <c:lblOffset val="100"/>
        <c:noMultiLvlLbl val="0"/>
      </c:catAx>
      <c:valAx>
        <c:axId val="8902811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998748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 какой целью вы читаете?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Диаграммы!B105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Диаграммы!$A$106:$A$110</c:f>
              <c:strCache>
                <c:ptCount val="5"/>
                <c:pt idx="0">
                  <c:v>Для удовольствия и отдыха</c:v>
                </c:pt>
                <c:pt idx="1">
                  <c:v>Для саморазвития</c:v>
                </c:pt>
                <c:pt idx="2">
                  <c:v>Для учёбы или работы</c:v>
                </c:pt>
                <c:pt idx="3">
                  <c:v>Чтобы скоротать время</c:v>
                </c:pt>
                <c:pt idx="4">
                  <c:v>Чтобы обсуждать прочитанное с друзьями</c:v>
                </c:pt>
              </c:strCache>
            </c:strRef>
          </c:cat>
          <c:val>
            <c:numRef>
              <c:f>Диаграммы!$B$106:$B$110</c:f>
              <c:numCache>
                <c:formatCode>General</c:formatCode>
                <c:ptCount val="5"/>
                <c:pt idx="0">
                  <c:v>8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2</c:v>
                </c:pt>
              </c:numCache>
            </c:numRef>
          </c:val>
        </c:ser>
        <c:gapWidth val="60"/>
        <c:overlap val="0"/>
        <c:axId val="93237817"/>
        <c:axId val="21879459"/>
      </c:barChart>
      <c:catAx>
        <c:axId val="932378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79459"/>
        <c:crosses val="autoZero"/>
        <c:auto val="1"/>
        <c:lblAlgn val="ctr"/>
        <c:lblOffset val="100"/>
        <c:noMultiLvlLbl val="0"/>
      </c:catAx>
      <c:valAx>
        <c:axId val="2187945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23781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Откуда вы обычно узнаёте о новых книгах?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Диаграммы!B122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Диаграммы!$A$123:$A$128</c:f>
              <c:strCache>
                <c:ptCount val="6"/>
                <c:pt idx="0">
                  <c:v>Рейтинги и подборки на сайтах</c:v>
                </c:pt>
                <c:pt idx="1">
                  <c:v>Советы друзей и близких</c:v>
                </c:pt>
                <c:pt idx="2">
                  <c:v>Соцсети и блогеры</c:v>
                </c:pt>
                <c:pt idx="3">
                  <c:v>Случайно, по обложке или названию</c:v>
                </c:pt>
                <c:pt idx="4">
                  <c:v>Рекомендации в приложениях</c:v>
                </c:pt>
                <c:pt idx="5">
                  <c:v>Книжные магазины и библиотеки</c:v>
                </c:pt>
              </c:strCache>
            </c:strRef>
          </c:cat>
          <c:val>
            <c:numRef>
              <c:f>Диаграммы!$B$123:$B$128</c:f>
              <c:numCache>
                <c:formatCode>General</c:formatCode>
                <c:ptCount val="6"/>
                <c:pt idx="0">
                  <c:v>6</c:v>
                </c:pt>
                <c:pt idx="1">
                  <c:v>6</c:v>
                </c:pt>
                <c:pt idx="2">
                  <c:v>5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</c:numCache>
            </c:numRef>
          </c:val>
        </c:ser>
        <c:gapWidth val="60"/>
        <c:overlap val="0"/>
        <c:axId val="38001717"/>
        <c:axId val="78644143"/>
      </c:barChart>
      <c:catAx>
        <c:axId val="380017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44143"/>
        <c:crosses val="autoZero"/>
        <c:auto val="1"/>
        <c:lblAlgn val="ctr"/>
        <c:lblOffset val="100"/>
        <c:noMultiLvlLbl val="0"/>
      </c:catAx>
      <c:valAx>
        <c:axId val="7864414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00171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Насколько вам сложно выбрать, что прочитать дальше?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Диаграммы!B139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Диаграммы!$A$140:$A$143</c:f>
              <c:strCache>
                <c:ptCount val="4"/>
                <c:pt idx="0">
                  <c:v>Совсем не сложно</c:v>
                </c:pt>
                <c:pt idx="1">
                  <c:v>Скорее не сложно</c:v>
                </c:pt>
                <c:pt idx="2">
                  <c:v>Скорее сложно</c:v>
                </c:pt>
                <c:pt idx="3">
                  <c:v>Очень сложно</c:v>
                </c:pt>
              </c:strCache>
            </c:strRef>
          </c:cat>
          <c:val>
            <c:numRef>
              <c:f>Диаграммы!$B$140:$B$143</c:f>
              <c:numCache>
                <c:formatCode>General</c:formatCode>
                <c:ptCount val="4"/>
                <c:pt idx="0">
                  <c:v>7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gapWidth val="60"/>
        <c:overlap val="0"/>
        <c:axId val="58352357"/>
        <c:axId val="80601335"/>
      </c:barChart>
      <c:catAx>
        <c:axId val="5835235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01335"/>
        <c:crosses val="autoZero"/>
        <c:auto val="1"/>
        <c:lblAlgn val="ctr"/>
        <c:lblOffset val="100"/>
        <c:noMultiLvlLbl val="0"/>
      </c:catAx>
      <c:valAx>
        <c:axId val="80601335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35235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С какими трудностями вы сталкиваетесь при выборе книги?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Диаграммы!B156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Диаграммы!$A$157:$A$162</c:f>
              <c:strCache>
                <c:ptCount val="6"/>
                <c:pt idx="0">
                  <c:v>Трудностей нет</c:v>
                </c:pt>
                <c:pt idx="1">
                  <c:v>Мало времени на поиск</c:v>
                </c:pt>
                <c:pt idx="2">
                  <c:v>Сложно найти книгу нужной тематики</c:v>
                </c:pt>
                <c:pt idx="3">
                  <c:v>Боюсь разочароваться и потратить деньги или время впустую</c:v>
                </c:pt>
                <c:pt idx="4">
                  <c:v>Не знаю, что подойдёт именно мне</c:v>
                </c:pt>
                <c:pt idx="5">
                  <c:v>Рекомендации не совпадают с моими вкусами</c:v>
                </c:pt>
              </c:strCache>
            </c:strRef>
          </c:cat>
          <c:val>
            <c:numRef>
              <c:f>Диаграммы!$B$157:$B$162</c:f>
              <c:numCache>
                <c:formatCode>General</c:formatCode>
                <c:ptCount val="6"/>
                <c:pt idx="0">
                  <c:v>7</c:v>
                </c:pt>
                <c:pt idx="1">
                  <c:v>4</c:v>
                </c:pt>
                <c:pt idx="2">
                  <c:v>4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gapWidth val="60"/>
        <c:overlap val="0"/>
        <c:axId val="36677809"/>
        <c:axId val="65394138"/>
      </c:barChart>
      <c:catAx>
        <c:axId val="36677809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394138"/>
        <c:crosses val="autoZero"/>
        <c:auto val="1"/>
        <c:lblAlgn val="ctr"/>
        <c:lblOffset val="100"/>
        <c:noMultiLvlLbl val="0"/>
      </c:catAx>
      <c:valAx>
        <c:axId val="6539413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677809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Какие жанры вам интересны?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Диаграммы!B173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Диаграммы!$A$174:$A$182</c:f>
              <c:strCache>
                <c:ptCount val="9"/>
                <c:pt idx="0">
                  <c:v>Фантастика и фэнтези</c:v>
                </c:pt>
                <c:pt idx="1">
                  <c:v>Романы</c:v>
                </c:pt>
                <c:pt idx="2">
                  <c:v>Бизнес и саморазвитие</c:v>
                </c:pt>
                <c:pt idx="3">
                  <c:v>Детективы</c:v>
                </c:pt>
                <c:pt idx="4">
                  <c:v>Учебная и профессиональная литература</c:v>
                </c:pt>
                <c:pt idx="5">
                  <c:v>Классическая литература</c:v>
                </c:pt>
                <c:pt idx="6">
                  <c:v>Научно-популярная литература</c:v>
                </c:pt>
                <c:pt idx="7">
                  <c:v>Триллеры</c:v>
                </c:pt>
                <c:pt idx="8">
                  <c:v>Современная проза</c:v>
                </c:pt>
              </c:strCache>
            </c:strRef>
          </c:cat>
          <c:val>
            <c:numRef>
              <c:f>Диаграммы!$B$174:$B$182</c:f>
              <c:numCache>
                <c:formatCode>General</c:formatCode>
                <c:ptCount val="9"/>
                <c:pt idx="0">
                  <c:v>9</c:v>
                </c:pt>
                <c:pt idx="1">
                  <c:v>6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</c:ser>
        <c:gapWidth val="60"/>
        <c:overlap val="0"/>
        <c:axId val="11753197"/>
        <c:axId val="49629929"/>
      </c:barChart>
      <c:catAx>
        <c:axId val="1175319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29929"/>
        <c:crosses val="autoZero"/>
        <c:auto val="1"/>
        <c:lblAlgn val="ctr"/>
        <c:lblOffset val="100"/>
        <c:noMultiLvlLbl val="0"/>
      </c:catAx>
      <c:valAx>
        <c:axId val="49629929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75319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Пользовались ли вы раньше сервисами рекомендации книг?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Диаграммы!B193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Диаграммы!$A$194:$A$197</c:f>
              <c:strCache>
                <c:ptCount val="4"/>
                <c:pt idx="0">
                  <c:v>Пробовал(а) несколько раз</c:v>
                </c:pt>
                <c:pt idx="1">
                  <c:v>Нет, не знал(а) о них</c:v>
                </c:pt>
                <c:pt idx="2">
                  <c:v>Нет, но слышал(а) о таких</c:v>
                </c:pt>
                <c:pt idx="3">
                  <c:v>Да, пользуюсь регулярно</c:v>
                </c:pt>
              </c:strCache>
            </c:strRef>
          </c:cat>
          <c:val>
            <c:numRef>
              <c:f>Диаграммы!$B$194:$B$197</c:f>
              <c:numCache>
                <c:formatCode>General</c:formatCode>
                <c:ptCount val="4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gapWidth val="60"/>
        <c:overlap val="0"/>
        <c:axId val="99002225"/>
        <c:axId val="52075813"/>
      </c:barChart>
      <c:catAx>
        <c:axId val="9900222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75813"/>
        <c:crosses val="autoZero"/>
        <c:auto val="1"/>
        <c:lblAlgn val="ctr"/>
        <c:lblOffset val="100"/>
        <c:noMultiLvlLbl val="0"/>
      </c:catAx>
      <c:valAx>
        <c:axId val="5207581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00222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Что для вас важнее всего в сервисе рекомендации книг?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Диаграммы!B210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Диаграммы!$A$211:$A$218</c:f>
              <c:strCache>
                <c:ptCount val="8"/>
                <c:pt idx="0">
                  <c:v>Возможность вести список прочитанного и «хочу прочитать»</c:v>
                </c:pt>
                <c:pt idx="1">
                  <c:v>Точность рекомендаций под мои вкусы</c:v>
                </c:pt>
                <c:pt idx="2">
                  <c:v>Простой и понятный интерфейс</c:v>
                </c:pt>
                <c:pt idx="3">
                  <c:v>Бесплатное использование</c:v>
                </c:pt>
                <c:pt idx="4">
                  <c:v>Отзывы и оценки других читателей</c:v>
                </c:pt>
                <c:pt idx="5">
                  <c:v>Подборки по настроению или теме</c:v>
                </c:pt>
                <c:pt idx="6">
                  <c:v>Возможность сразу купить или скачать книгу</c:v>
                </c:pt>
                <c:pt idx="7">
                  <c:v>Общение с другими читателями</c:v>
                </c:pt>
              </c:strCache>
            </c:strRef>
          </c:cat>
          <c:val>
            <c:numRef>
              <c:f>Диаграммы!$B$211:$B$218</c:f>
              <c:numCache>
                <c:formatCode>General</c:formatCode>
                <c:ptCount val="8"/>
                <c:pt idx="0">
                  <c:v>8</c:v>
                </c:pt>
                <c:pt idx="1">
                  <c:v>8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2</c:v>
                </c:pt>
              </c:numCache>
            </c:numRef>
          </c:val>
        </c:ser>
        <c:gapWidth val="60"/>
        <c:overlap val="0"/>
        <c:axId val="42275450"/>
        <c:axId val="79080362"/>
      </c:barChart>
      <c:catAx>
        <c:axId val="422754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80362"/>
        <c:crosses val="autoZero"/>
        <c:auto val="1"/>
        <c:lblAlgn val="ctr"/>
        <c:lblOffset val="100"/>
        <c:noMultiLvlLbl val="0"/>
      </c:catAx>
      <c:valAx>
        <c:axId val="79080362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27545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Как вам удобнее пользоваться таким сервисом?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Диаграммы!B228</c:f>
              <c:strCache>
                <c:ptCount val="1"/>
                <c:pt idx="0">
                  <c:v>Кол-во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Диаграммы!$A$229:$A$231</c:f>
              <c:strCache>
                <c:ptCount val="3"/>
                <c:pt idx="0">
                  <c:v>Мобильное приложение</c:v>
                </c:pt>
                <c:pt idx="1">
                  <c:v>Без разницы</c:v>
                </c:pt>
                <c:pt idx="2">
                  <c:v>Сайт в браузере</c:v>
                </c:pt>
              </c:strCache>
            </c:strRef>
          </c:cat>
          <c:val>
            <c:numRef>
              <c:f>Диаграммы!$B$229:$B$231</c:f>
              <c:numCache>
                <c:formatCode>General</c:formatCode>
                <c:ptCount val="3"/>
                <c:pt idx="0">
                  <c:v>9</c:v>
                </c:pt>
                <c:pt idx="1">
                  <c:v>3</c:v>
                </c:pt>
                <c:pt idx="2">
                  <c:v>1</c:v>
                </c:pt>
              </c:numCache>
            </c:numRef>
          </c:val>
        </c:ser>
        <c:gapWidth val="60"/>
        <c:overlap val="0"/>
        <c:axId val="53298155"/>
        <c:axId val="9810390"/>
      </c:barChart>
      <c:catAx>
        <c:axId val="5329815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10390"/>
        <c:crosses val="autoZero"/>
        <c:auto val="1"/>
        <c:lblAlgn val="ctr"/>
        <c:lblOffset val="100"/>
        <c:noMultiLvlLbl val="0"/>
      </c:catAx>
      <c:valAx>
        <c:axId val="981039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298155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18</xdr:col>
      <xdr:colOff>78480</xdr:colOff>
      <xdr:row>14</xdr:row>
      <xdr:rowOff>32760</xdr:rowOff>
    </xdr:to>
    <xdr:graphicFrame>
      <xdr:nvGraphicFramePr>
        <xdr:cNvPr id="0" name="Chart 1"/>
        <xdr:cNvGraphicFramePr/>
      </xdr:nvGraphicFramePr>
      <xdr:xfrm>
        <a:off x="6273000" y="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18</xdr:col>
      <xdr:colOff>78480</xdr:colOff>
      <xdr:row>31</xdr:row>
      <xdr:rowOff>32760</xdr:rowOff>
    </xdr:to>
    <xdr:graphicFrame>
      <xdr:nvGraphicFramePr>
        <xdr:cNvPr id="1" name="Chart 2"/>
        <xdr:cNvGraphicFramePr/>
      </xdr:nvGraphicFramePr>
      <xdr:xfrm>
        <a:off x="6273000" y="323856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34</xdr:row>
      <xdr:rowOff>0</xdr:rowOff>
    </xdr:from>
    <xdr:to>
      <xdr:col>18</xdr:col>
      <xdr:colOff>78480</xdr:colOff>
      <xdr:row>48</xdr:row>
      <xdr:rowOff>32760</xdr:rowOff>
    </xdr:to>
    <xdr:graphicFrame>
      <xdr:nvGraphicFramePr>
        <xdr:cNvPr id="2" name="Chart 3"/>
        <xdr:cNvGraphicFramePr/>
      </xdr:nvGraphicFramePr>
      <xdr:xfrm>
        <a:off x="6273000" y="64771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51</xdr:row>
      <xdr:rowOff>0</xdr:rowOff>
    </xdr:from>
    <xdr:to>
      <xdr:col>18</xdr:col>
      <xdr:colOff>78480</xdr:colOff>
      <xdr:row>65</xdr:row>
      <xdr:rowOff>32760</xdr:rowOff>
    </xdr:to>
    <xdr:graphicFrame>
      <xdr:nvGraphicFramePr>
        <xdr:cNvPr id="3" name="Chart 4"/>
        <xdr:cNvGraphicFramePr/>
      </xdr:nvGraphicFramePr>
      <xdr:xfrm>
        <a:off x="6273000" y="971568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68</xdr:row>
      <xdr:rowOff>0</xdr:rowOff>
    </xdr:from>
    <xdr:to>
      <xdr:col>18</xdr:col>
      <xdr:colOff>78480</xdr:colOff>
      <xdr:row>82</xdr:row>
      <xdr:rowOff>32400</xdr:rowOff>
    </xdr:to>
    <xdr:graphicFrame>
      <xdr:nvGraphicFramePr>
        <xdr:cNvPr id="4" name="Chart 5"/>
        <xdr:cNvGraphicFramePr/>
      </xdr:nvGraphicFramePr>
      <xdr:xfrm>
        <a:off x="6273000" y="1295388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</xdr:col>
      <xdr:colOff>0</xdr:colOff>
      <xdr:row>85</xdr:row>
      <xdr:rowOff>0</xdr:rowOff>
    </xdr:from>
    <xdr:to>
      <xdr:col>18</xdr:col>
      <xdr:colOff>78480</xdr:colOff>
      <xdr:row>99</xdr:row>
      <xdr:rowOff>32400</xdr:rowOff>
    </xdr:to>
    <xdr:graphicFrame>
      <xdr:nvGraphicFramePr>
        <xdr:cNvPr id="5" name="Chart 6"/>
        <xdr:cNvGraphicFramePr/>
      </xdr:nvGraphicFramePr>
      <xdr:xfrm>
        <a:off x="6273000" y="1619244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0</xdr:colOff>
      <xdr:row>102</xdr:row>
      <xdr:rowOff>0</xdr:rowOff>
    </xdr:from>
    <xdr:to>
      <xdr:col>18</xdr:col>
      <xdr:colOff>78480</xdr:colOff>
      <xdr:row>116</xdr:row>
      <xdr:rowOff>32760</xdr:rowOff>
    </xdr:to>
    <xdr:graphicFrame>
      <xdr:nvGraphicFramePr>
        <xdr:cNvPr id="6" name="Chart 7"/>
        <xdr:cNvGraphicFramePr/>
      </xdr:nvGraphicFramePr>
      <xdr:xfrm>
        <a:off x="6273000" y="1943100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4</xdr:col>
      <xdr:colOff>0</xdr:colOff>
      <xdr:row>119</xdr:row>
      <xdr:rowOff>0</xdr:rowOff>
    </xdr:from>
    <xdr:to>
      <xdr:col>18</xdr:col>
      <xdr:colOff>78480</xdr:colOff>
      <xdr:row>133</xdr:row>
      <xdr:rowOff>32760</xdr:rowOff>
    </xdr:to>
    <xdr:graphicFrame>
      <xdr:nvGraphicFramePr>
        <xdr:cNvPr id="7" name="Chart 8"/>
        <xdr:cNvGraphicFramePr/>
      </xdr:nvGraphicFramePr>
      <xdr:xfrm>
        <a:off x="6273000" y="2266956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4</xdr:col>
      <xdr:colOff>0</xdr:colOff>
      <xdr:row>136</xdr:row>
      <xdr:rowOff>0</xdr:rowOff>
    </xdr:from>
    <xdr:to>
      <xdr:col>18</xdr:col>
      <xdr:colOff>78480</xdr:colOff>
      <xdr:row>150</xdr:row>
      <xdr:rowOff>32760</xdr:rowOff>
    </xdr:to>
    <xdr:graphicFrame>
      <xdr:nvGraphicFramePr>
        <xdr:cNvPr id="8" name="Chart 9"/>
        <xdr:cNvGraphicFramePr/>
      </xdr:nvGraphicFramePr>
      <xdr:xfrm>
        <a:off x="6273000" y="259081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4</xdr:col>
      <xdr:colOff>0</xdr:colOff>
      <xdr:row>153</xdr:row>
      <xdr:rowOff>0</xdr:rowOff>
    </xdr:from>
    <xdr:to>
      <xdr:col>18</xdr:col>
      <xdr:colOff>78480</xdr:colOff>
      <xdr:row>166</xdr:row>
      <xdr:rowOff>72720</xdr:rowOff>
    </xdr:to>
    <xdr:graphicFrame>
      <xdr:nvGraphicFramePr>
        <xdr:cNvPr id="9" name="Chart 10"/>
        <xdr:cNvGraphicFramePr/>
      </xdr:nvGraphicFramePr>
      <xdr:xfrm>
        <a:off x="6273000" y="2914668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4</xdr:col>
      <xdr:colOff>0</xdr:colOff>
      <xdr:row>169</xdr:row>
      <xdr:rowOff>39960</xdr:rowOff>
    </xdr:from>
    <xdr:to>
      <xdr:col>18</xdr:col>
      <xdr:colOff>78480</xdr:colOff>
      <xdr:row>186</xdr:row>
      <xdr:rowOff>77040</xdr:rowOff>
    </xdr:to>
    <xdr:graphicFrame>
      <xdr:nvGraphicFramePr>
        <xdr:cNvPr id="10" name="Chart 11"/>
        <xdr:cNvGraphicFramePr/>
      </xdr:nvGraphicFramePr>
      <xdr:xfrm>
        <a:off x="6273000" y="32384880"/>
        <a:ext cx="8639640" cy="32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4</xdr:col>
      <xdr:colOff>0</xdr:colOff>
      <xdr:row>189</xdr:row>
      <xdr:rowOff>39960</xdr:rowOff>
    </xdr:from>
    <xdr:to>
      <xdr:col>18</xdr:col>
      <xdr:colOff>78480</xdr:colOff>
      <xdr:row>203</xdr:row>
      <xdr:rowOff>72720</xdr:rowOff>
    </xdr:to>
    <xdr:graphicFrame>
      <xdr:nvGraphicFramePr>
        <xdr:cNvPr id="11" name="Chart 12"/>
        <xdr:cNvGraphicFramePr/>
      </xdr:nvGraphicFramePr>
      <xdr:xfrm>
        <a:off x="6273000" y="3619512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4</xdr:col>
      <xdr:colOff>0</xdr:colOff>
      <xdr:row>206</xdr:row>
      <xdr:rowOff>40320</xdr:rowOff>
    </xdr:from>
    <xdr:to>
      <xdr:col>18</xdr:col>
      <xdr:colOff>78480</xdr:colOff>
      <xdr:row>220</xdr:row>
      <xdr:rowOff>174240</xdr:rowOff>
    </xdr:to>
    <xdr:graphicFrame>
      <xdr:nvGraphicFramePr>
        <xdr:cNvPr id="12" name="Chart 13"/>
        <xdr:cNvGraphicFramePr/>
      </xdr:nvGraphicFramePr>
      <xdr:xfrm>
        <a:off x="6273000" y="39433680"/>
        <a:ext cx="8639640" cy="295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4</xdr:col>
      <xdr:colOff>0</xdr:colOff>
      <xdr:row>223</xdr:row>
      <xdr:rowOff>80280</xdr:rowOff>
    </xdr:from>
    <xdr:to>
      <xdr:col>18</xdr:col>
      <xdr:colOff>78480</xdr:colOff>
      <xdr:row>237</xdr:row>
      <xdr:rowOff>112680</xdr:rowOff>
    </xdr:to>
    <xdr:graphicFrame>
      <xdr:nvGraphicFramePr>
        <xdr:cNvPr id="13" name="Chart 14"/>
        <xdr:cNvGraphicFramePr/>
      </xdr:nvGraphicFramePr>
      <xdr:xfrm>
        <a:off x="6273000" y="42862680"/>
        <a:ext cx="86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5" min="2" style="0" width="32"/>
  </cols>
  <sheetData>
    <row r="1" customFormat="false" ht="4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26.85" hidden="false" customHeight="false" outlineLevel="0" collapsed="false">
      <c r="A2" s="2" t="n">
        <v>46314.7715066782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</row>
    <row r="3" customFormat="false" ht="26.85" hidden="false" customHeight="false" outlineLevel="0" collapsed="false">
      <c r="A3" s="2" t="n">
        <v>46314.7717079514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26</v>
      </c>
      <c r="N3" s="3" t="s">
        <v>27</v>
      </c>
      <c r="O3" s="3" t="s">
        <v>28</v>
      </c>
    </row>
    <row r="4" customFormat="false" ht="26.85" hidden="false" customHeight="false" outlineLevel="0" collapsed="false">
      <c r="A4" s="2" t="n">
        <v>46314.7794237037</v>
      </c>
      <c r="B4" s="3" t="s">
        <v>29</v>
      </c>
      <c r="C4" s="3" t="s">
        <v>30</v>
      </c>
      <c r="D4" s="3" t="s">
        <v>31</v>
      </c>
      <c r="E4" s="3" t="s">
        <v>32</v>
      </c>
      <c r="F4" s="3" t="s">
        <v>19</v>
      </c>
      <c r="G4" s="3" t="s">
        <v>33</v>
      </c>
      <c r="H4" s="3" t="s">
        <v>34</v>
      </c>
      <c r="I4" s="3" t="s">
        <v>35</v>
      </c>
      <c r="J4" s="3" t="s">
        <v>23</v>
      </c>
      <c r="K4" s="3" t="s">
        <v>36</v>
      </c>
      <c r="L4" s="3" t="s">
        <v>37</v>
      </c>
      <c r="M4" s="3" t="s">
        <v>38</v>
      </c>
      <c r="N4" s="3" t="s">
        <v>39</v>
      </c>
      <c r="O4" s="3" t="s">
        <v>28</v>
      </c>
    </row>
    <row r="5" customFormat="false" ht="26.85" hidden="false" customHeight="false" outlineLevel="0" collapsed="false">
      <c r="A5" s="2" t="n">
        <v>46314.7819779745</v>
      </c>
      <c r="B5" s="3" t="s">
        <v>40</v>
      </c>
      <c r="C5" s="3" t="s">
        <v>30</v>
      </c>
      <c r="D5" s="3" t="s">
        <v>31</v>
      </c>
      <c r="E5" s="3" t="s">
        <v>32</v>
      </c>
      <c r="F5" s="3" t="s">
        <v>41</v>
      </c>
      <c r="G5" s="3" t="s">
        <v>33</v>
      </c>
      <c r="H5" s="3" t="s">
        <v>42</v>
      </c>
      <c r="I5" s="3" t="s">
        <v>43</v>
      </c>
      <c r="J5" s="3" t="s">
        <v>23</v>
      </c>
      <c r="K5" s="3" t="s">
        <v>36</v>
      </c>
      <c r="L5" s="3" t="s">
        <v>44</v>
      </c>
      <c r="M5" s="3" t="s">
        <v>45</v>
      </c>
      <c r="N5" s="3" t="s">
        <v>46</v>
      </c>
      <c r="O5" s="3" t="s">
        <v>47</v>
      </c>
    </row>
    <row r="6" customFormat="false" ht="52.2" hidden="false" customHeight="false" outlineLevel="0" collapsed="false">
      <c r="A6" s="2" t="n">
        <v>46314.7820596412</v>
      </c>
      <c r="B6" s="3" t="s">
        <v>29</v>
      </c>
      <c r="C6" s="3" t="s">
        <v>30</v>
      </c>
      <c r="D6" s="3" t="s">
        <v>48</v>
      </c>
      <c r="E6" s="3" t="s">
        <v>32</v>
      </c>
      <c r="F6" s="3" t="s">
        <v>49</v>
      </c>
      <c r="G6" s="3" t="s">
        <v>33</v>
      </c>
      <c r="H6" s="3" t="s">
        <v>21</v>
      </c>
      <c r="I6" s="3" t="s">
        <v>43</v>
      </c>
      <c r="J6" s="3" t="s">
        <v>23</v>
      </c>
      <c r="K6" s="3" t="s">
        <v>36</v>
      </c>
      <c r="L6" s="3" t="s">
        <v>50</v>
      </c>
      <c r="M6" s="3" t="s">
        <v>51</v>
      </c>
      <c r="N6" s="3" t="s">
        <v>52</v>
      </c>
      <c r="O6" s="3" t="s">
        <v>53</v>
      </c>
    </row>
    <row r="7" customFormat="false" ht="64.9" hidden="false" customHeight="false" outlineLevel="0" collapsed="false">
      <c r="A7" s="2" t="n">
        <v>46314.7886982176</v>
      </c>
      <c r="B7" s="3" t="s">
        <v>29</v>
      </c>
      <c r="C7" s="3" t="s">
        <v>30</v>
      </c>
      <c r="D7" s="3" t="s">
        <v>48</v>
      </c>
      <c r="E7" s="3" t="s">
        <v>32</v>
      </c>
      <c r="F7" s="3" t="s">
        <v>54</v>
      </c>
      <c r="G7" s="3" t="s">
        <v>55</v>
      </c>
      <c r="H7" s="3" t="s">
        <v>56</v>
      </c>
      <c r="I7" s="3" t="s">
        <v>57</v>
      </c>
      <c r="J7" s="3" t="s">
        <v>58</v>
      </c>
      <c r="K7" s="3" t="s">
        <v>36</v>
      </c>
      <c r="L7" s="3" t="s">
        <v>59</v>
      </c>
      <c r="M7" s="3" t="s">
        <v>26</v>
      </c>
      <c r="N7" s="3" t="s">
        <v>60</v>
      </c>
      <c r="O7" s="3" t="s">
        <v>28</v>
      </c>
    </row>
    <row r="8" customFormat="false" ht="64.9" hidden="false" customHeight="false" outlineLevel="0" collapsed="false">
      <c r="A8" s="2" t="n">
        <v>46314.7925671644</v>
      </c>
      <c r="B8" s="3" t="s">
        <v>29</v>
      </c>
      <c r="C8" s="3" t="s">
        <v>30</v>
      </c>
      <c r="D8" s="3" t="s">
        <v>48</v>
      </c>
      <c r="E8" s="3" t="s">
        <v>18</v>
      </c>
      <c r="F8" s="3" t="s">
        <v>54</v>
      </c>
      <c r="G8" s="3" t="s">
        <v>61</v>
      </c>
      <c r="H8" s="3" t="s">
        <v>62</v>
      </c>
      <c r="I8" s="3" t="s">
        <v>22</v>
      </c>
      <c r="J8" s="3" t="s">
        <v>58</v>
      </c>
      <c r="K8" s="3" t="s">
        <v>63</v>
      </c>
      <c r="L8" s="3" t="s">
        <v>64</v>
      </c>
      <c r="M8" s="3" t="s">
        <v>51</v>
      </c>
      <c r="N8" s="3" t="s">
        <v>65</v>
      </c>
      <c r="O8" s="3" t="s">
        <v>28</v>
      </c>
    </row>
    <row r="9" customFormat="false" ht="90.25" hidden="false" customHeight="false" outlineLevel="0" collapsed="false">
      <c r="A9" s="2" t="n">
        <v>46314.7979422338</v>
      </c>
      <c r="B9" s="3" t="s">
        <v>40</v>
      </c>
      <c r="C9" s="3" t="s">
        <v>66</v>
      </c>
      <c r="D9" s="3" t="s">
        <v>48</v>
      </c>
      <c r="E9" s="3" t="s">
        <v>18</v>
      </c>
      <c r="F9" s="3" t="s">
        <v>54</v>
      </c>
      <c r="G9" s="3" t="s">
        <v>67</v>
      </c>
      <c r="H9" s="3" t="s">
        <v>34</v>
      </c>
      <c r="I9" s="3" t="s">
        <v>68</v>
      </c>
      <c r="J9" s="3" t="s">
        <v>69</v>
      </c>
      <c r="K9" s="3" t="s">
        <v>70</v>
      </c>
      <c r="L9" s="3" t="s">
        <v>71</v>
      </c>
      <c r="M9" s="3" t="s">
        <v>45</v>
      </c>
      <c r="N9" s="3" t="s">
        <v>72</v>
      </c>
      <c r="O9" s="3" t="s">
        <v>47</v>
      </c>
    </row>
    <row r="10" customFormat="false" ht="102.95" hidden="false" customHeight="false" outlineLevel="0" collapsed="false">
      <c r="A10" s="2" t="n">
        <v>46314.7984794097</v>
      </c>
      <c r="B10" s="3" t="s">
        <v>29</v>
      </c>
      <c r="C10" s="3" t="s">
        <v>30</v>
      </c>
      <c r="D10" s="3" t="s">
        <v>48</v>
      </c>
      <c r="E10" s="3" t="s">
        <v>18</v>
      </c>
      <c r="F10" s="3" t="s">
        <v>19</v>
      </c>
      <c r="G10" s="3" t="s">
        <v>73</v>
      </c>
      <c r="H10" s="3" t="s">
        <v>56</v>
      </c>
      <c r="I10" s="3" t="s">
        <v>74</v>
      </c>
      <c r="J10" s="3" t="s">
        <v>23</v>
      </c>
      <c r="K10" s="3" t="s">
        <v>75</v>
      </c>
      <c r="L10" s="3" t="s">
        <v>76</v>
      </c>
      <c r="M10" s="3" t="s">
        <v>51</v>
      </c>
      <c r="N10" s="3" t="s">
        <v>77</v>
      </c>
      <c r="O10" s="3" t="s">
        <v>28</v>
      </c>
    </row>
    <row r="11" customFormat="false" ht="141" hidden="false" customHeight="false" outlineLevel="0" collapsed="false">
      <c r="A11" s="2" t="n">
        <v>46314.8237801273</v>
      </c>
      <c r="B11" s="3" t="s">
        <v>40</v>
      </c>
      <c r="C11" s="3" t="s">
        <v>30</v>
      </c>
      <c r="D11" s="3" t="s">
        <v>31</v>
      </c>
      <c r="E11" s="3" t="s">
        <v>32</v>
      </c>
      <c r="F11" s="3" t="s">
        <v>78</v>
      </c>
      <c r="G11" s="3" t="s">
        <v>79</v>
      </c>
      <c r="H11" s="3" t="s">
        <v>80</v>
      </c>
      <c r="I11" s="3" t="s">
        <v>81</v>
      </c>
      <c r="J11" s="3" t="s">
        <v>82</v>
      </c>
      <c r="K11" s="3" t="s">
        <v>83</v>
      </c>
      <c r="L11" s="3" t="s">
        <v>84</v>
      </c>
      <c r="M11" s="3" t="s">
        <v>45</v>
      </c>
      <c r="N11" s="3" t="s">
        <v>85</v>
      </c>
      <c r="O11" s="3" t="s">
        <v>28</v>
      </c>
    </row>
    <row r="12" customFormat="false" ht="39.55" hidden="false" customHeight="false" outlineLevel="0" collapsed="false">
      <c r="A12" s="2" t="n">
        <v>46314.8835387153</v>
      </c>
      <c r="B12" s="3" t="s">
        <v>40</v>
      </c>
      <c r="C12" s="3" t="s">
        <v>30</v>
      </c>
      <c r="D12" s="3" t="s">
        <v>48</v>
      </c>
      <c r="E12" s="3" t="s">
        <v>18</v>
      </c>
      <c r="F12" s="3" t="s">
        <v>19</v>
      </c>
      <c r="G12" s="3" t="s">
        <v>20</v>
      </c>
      <c r="H12" s="3" t="s">
        <v>86</v>
      </c>
      <c r="I12" s="3" t="s">
        <v>87</v>
      </c>
      <c r="J12" s="3" t="s">
        <v>23</v>
      </c>
      <c r="K12" s="3" t="s">
        <v>70</v>
      </c>
      <c r="L12" s="3" t="s">
        <v>88</v>
      </c>
      <c r="M12" s="3" t="s">
        <v>38</v>
      </c>
      <c r="N12" s="3" t="s">
        <v>89</v>
      </c>
      <c r="O12" s="3" t="s">
        <v>28</v>
      </c>
    </row>
    <row r="13" customFormat="false" ht="115.65" hidden="false" customHeight="false" outlineLevel="0" collapsed="false">
      <c r="A13" s="2" t="n">
        <v>46315.4309771991</v>
      </c>
      <c r="B13" s="3" t="s">
        <v>29</v>
      </c>
      <c r="C13" s="3" t="s">
        <v>30</v>
      </c>
      <c r="D13" s="3" t="s">
        <v>31</v>
      </c>
      <c r="E13" s="3" t="s">
        <v>32</v>
      </c>
      <c r="F13" s="3" t="s">
        <v>49</v>
      </c>
      <c r="G13" s="3" t="s">
        <v>90</v>
      </c>
      <c r="H13" s="3" t="s">
        <v>91</v>
      </c>
      <c r="I13" s="3" t="s">
        <v>35</v>
      </c>
      <c r="J13" s="3" t="s">
        <v>58</v>
      </c>
      <c r="K13" s="3" t="s">
        <v>92</v>
      </c>
      <c r="L13" s="3" t="s">
        <v>93</v>
      </c>
      <c r="M13" s="3" t="s">
        <v>26</v>
      </c>
      <c r="N13" s="3" t="s">
        <v>94</v>
      </c>
      <c r="O13" s="3" t="s">
        <v>28</v>
      </c>
    </row>
    <row r="14" customFormat="false" ht="64.9" hidden="false" customHeight="false" outlineLevel="0" collapsed="false">
      <c r="A14" s="2" t="n">
        <v>46315.4775044792</v>
      </c>
      <c r="B14" s="3" t="s">
        <v>29</v>
      </c>
      <c r="C14" s="3" t="s">
        <v>30</v>
      </c>
      <c r="D14" s="3" t="s">
        <v>17</v>
      </c>
      <c r="E14" s="3" t="s">
        <v>32</v>
      </c>
      <c r="F14" s="3" t="s">
        <v>95</v>
      </c>
      <c r="G14" s="3" t="s">
        <v>96</v>
      </c>
      <c r="H14" s="3" t="s">
        <v>97</v>
      </c>
      <c r="I14" s="3" t="s">
        <v>98</v>
      </c>
      <c r="J14" s="3" t="s">
        <v>69</v>
      </c>
      <c r="K14" s="3" t="s">
        <v>99</v>
      </c>
      <c r="L14" s="3" t="s">
        <v>100</v>
      </c>
      <c r="M14" s="3" t="s">
        <v>26</v>
      </c>
      <c r="N14" s="3" t="s">
        <v>101</v>
      </c>
      <c r="O14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3" min="2" style="0" width="14"/>
    <col collapsed="false" customWidth="true" hidden="false" outlineLevel="0" max="4" min="4" style="0" width="3"/>
  </cols>
  <sheetData>
    <row r="1" customFormat="false" ht="15" hidden="false" customHeight="false" outlineLevel="0" collapsed="false">
      <c r="A1" s="4" t="s">
        <v>102</v>
      </c>
    </row>
    <row r="2" customFormat="false" ht="15" hidden="false" customHeight="false" outlineLevel="0" collapsed="false">
      <c r="A2" s="5" t="s">
        <v>103</v>
      </c>
      <c r="B2" s="5" t="n">
        <f aca="false">COUNTA(Ответы!$B$2:$B$14)</f>
        <v>13</v>
      </c>
    </row>
    <row r="3" customFormat="false" ht="15" hidden="false" customHeight="false" outlineLevel="0" collapsed="false">
      <c r="A3" s="6" t="s">
        <v>104</v>
      </c>
      <c r="B3" s="7" t="s">
        <v>105</v>
      </c>
      <c r="C3" s="7" t="s">
        <v>106</v>
      </c>
    </row>
    <row r="4" customFormat="false" ht="15" hidden="false" customHeight="false" outlineLevel="0" collapsed="false">
      <c r="A4" s="8" t="s">
        <v>29</v>
      </c>
      <c r="B4" s="9" t="n">
        <f aca="false">COUNTIF(Ответы!$B$2:$B$14,A4)</f>
        <v>7</v>
      </c>
      <c r="C4" s="10" t="n">
        <f aca="false">B4/$B$2</f>
        <v>0.538461538461538</v>
      </c>
    </row>
    <row r="5" customFormat="false" ht="15" hidden="false" customHeight="false" outlineLevel="0" collapsed="false">
      <c r="A5" s="8" t="s">
        <v>40</v>
      </c>
      <c r="B5" s="9" t="n">
        <f aca="false">COUNTIF(Ответы!$B$2:$B$14,A5)</f>
        <v>4</v>
      </c>
      <c r="C5" s="10" t="n">
        <f aca="false">B5/$B$2</f>
        <v>0.307692307692308</v>
      </c>
    </row>
    <row r="6" customFormat="false" ht="15" hidden="false" customHeight="false" outlineLevel="0" collapsed="false">
      <c r="A6" s="8" t="s">
        <v>15</v>
      </c>
      <c r="B6" s="9" t="n">
        <f aca="false">COUNTIF(Ответы!$B$2:$B$14,A6)</f>
        <v>2</v>
      </c>
      <c r="C6" s="10" t="n">
        <f aca="false">B6/$B$2</f>
        <v>0.153846153846154</v>
      </c>
    </row>
    <row r="18" customFormat="false" ht="15" hidden="false" customHeight="false" outlineLevel="0" collapsed="false">
      <c r="A18" s="4" t="s">
        <v>107</v>
      </c>
    </row>
    <row r="19" customFormat="false" ht="15" hidden="false" customHeight="false" outlineLevel="0" collapsed="false">
      <c r="A19" s="5" t="s">
        <v>103</v>
      </c>
      <c r="B19" s="5" t="n">
        <f aca="false">COUNTA(Ответы!$C$2:$C$14)</f>
        <v>13</v>
      </c>
    </row>
    <row r="20" customFormat="false" ht="15" hidden="false" customHeight="false" outlineLevel="0" collapsed="false">
      <c r="A20" s="6" t="s">
        <v>104</v>
      </c>
      <c r="B20" s="7" t="s">
        <v>105</v>
      </c>
      <c r="C20" s="7" t="s">
        <v>106</v>
      </c>
    </row>
    <row r="21" customFormat="false" ht="15" hidden="false" customHeight="false" outlineLevel="0" collapsed="false">
      <c r="A21" s="8" t="s">
        <v>30</v>
      </c>
      <c r="B21" s="9" t="n">
        <f aca="false">COUNTIF(Ответы!$C$2:$C$14,A21)</f>
        <v>10</v>
      </c>
      <c r="C21" s="10" t="n">
        <f aca="false">B21/$B$19</f>
        <v>0.769230769230769</v>
      </c>
    </row>
    <row r="22" customFormat="false" ht="15" hidden="false" customHeight="false" outlineLevel="0" collapsed="false">
      <c r="A22" s="8" t="s">
        <v>16</v>
      </c>
      <c r="B22" s="9" t="n">
        <f aca="false">COUNTIF(Ответы!$C$2:$C$14,A22)</f>
        <v>2</v>
      </c>
      <c r="C22" s="10" t="n">
        <f aca="false">B22/$B$19</f>
        <v>0.153846153846154</v>
      </c>
    </row>
    <row r="23" customFormat="false" ht="15" hidden="false" customHeight="false" outlineLevel="0" collapsed="false">
      <c r="A23" s="8" t="s">
        <v>66</v>
      </c>
      <c r="B23" s="9" t="n">
        <f aca="false">COUNTIF(Ответы!$C$2:$C$14,A23)</f>
        <v>1</v>
      </c>
      <c r="C23" s="10" t="n">
        <f aca="false">B23/$B$19</f>
        <v>0.0769230769230769</v>
      </c>
    </row>
    <row r="35" customFormat="false" ht="15" hidden="false" customHeight="false" outlineLevel="0" collapsed="false">
      <c r="A35" s="4" t="s">
        <v>108</v>
      </c>
    </row>
    <row r="36" customFormat="false" ht="15" hidden="false" customHeight="false" outlineLevel="0" collapsed="false">
      <c r="A36" s="5" t="s">
        <v>103</v>
      </c>
      <c r="B36" s="5" t="n">
        <f aca="false">COUNTA(Ответы!$D$2:$D$14)</f>
        <v>13</v>
      </c>
    </row>
    <row r="37" customFormat="false" ht="15" hidden="false" customHeight="false" outlineLevel="0" collapsed="false">
      <c r="A37" s="6" t="s">
        <v>104</v>
      </c>
      <c r="B37" s="7" t="s">
        <v>105</v>
      </c>
      <c r="C37" s="7" t="s">
        <v>106</v>
      </c>
    </row>
    <row r="38" customFormat="false" ht="15" hidden="false" customHeight="false" outlineLevel="0" collapsed="false">
      <c r="A38" s="8" t="s">
        <v>48</v>
      </c>
      <c r="B38" s="9" t="n">
        <f aca="false">COUNTIF(Ответы!$D$2:$D$14,A38)</f>
        <v>6</v>
      </c>
      <c r="C38" s="10" t="n">
        <f aca="false">B38/$B$36</f>
        <v>0.461538461538462</v>
      </c>
    </row>
    <row r="39" customFormat="false" ht="15" hidden="false" customHeight="false" outlineLevel="0" collapsed="false">
      <c r="A39" s="8" t="s">
        <v>31</v>
      </c>
      <c r="B39" s="9" t="n">
        <f aca="false">COUNTIF(Ответы!$D$2:$D$14,A39)</f>
        <v>4</v>
      </c>
      <c r="C39" s="10" t="n">
        <f aca="false">B39/$B$36</f>
        <v>0.307692307692308</v>
      </c>
    </row>
    <row r="40" customFormat="false" ht="15" hidden="false" customHeight="false" outlineLevel="0" collapsed="false">
      <c r="A40" s="8" t="s">
        <v>17</v>
      </c>
      <c r="B40" s="9" t="n">
        <f aca="false">COUNTIF(Ответы!$D$2:$D$14,A40)</f>
        <v>3</v>
      </c>
      <c r="C40" s="10" t="n">
        <f aca="false">B40/$B$36</f>
        <v>0.230769230769231</v>
      </c>
    </row>
    <row r="52" customFormat="false" ht="15" hidden="false" customHeight="false" outlineLevel="0" collapsed="false">
      <c r="A52" s="4" t="s">
        <v>109</v>
      </c>
    </row>
    <row r="53" customFormat="false" ht="15" hidden="false" customHeight="false" outlineLevel="0" collapsed="false">
      <c r="A53" s="5" t="s">
        <v>103</v>
      </c>
      <c r="B53" s="5" t="n">
        <f aca="false">COUNTA(Ответы!$E$2:$E$14)</f>
        <v>13</v>
      </c>
    </row>
    <row r="54" customFormat="false" ht="15" hidden="false" customHeight="false" outlineLevel="0" collapsed="false">
      <c r="A54" s="6" t="s">
        <v>104</v>
      </c>
      <c r="B54" s="7" t="s">
        <v>105</v>
      </c>
      <c r="C54" s="7" t="s">
        <v>106</v>
      </c>
    </row>
    <row r="55" customFormat="false" ht="15" hidden="false" customHeight="false" outlineLevel="0" collapsed="false">
      <c r="A55" s="8" t="s">
        <v>32</v>
      </c>
      <c r="B55" s="9" t="n">
        <f aca="false">COUNTIF(Ответы!$E$2:$E$14,A55)</f>
        <v>7</v>
      </c>
      <c r="C55" s="10" t="n">
        <f aca="false">B55/$B$53</f>
        <v>0.538461538461538</v>
      </c>
    </row>
    <row r="56" customFormat="false" ht="15" hidden="false" customHeight="false" outlineLevel="0" collapsed="false">
      <c r="A56" s="8" t="s">
        <v>18</v>
      </c>
      <c r="B56" s="9" t="n">
        <f aca="false">COUNTIF(Ответы!$E$2:$E$14,A56)</f>
        <v>6</v>
      </c>
      <c r="C56" s="10" t="n">
        <f aca="false">B56/$B$53</f>
        <v>0.461538461538462</v>
      </c>
    </row>
    <row r="69" customFormat="false" ht="15" hidden="false" customHeight="false" outlineLevel="0" collapsed="false">
      <c r="A69" s="4" t="s">
        <v>110</v>
      </c>
    </row>
    <row r="70" customFormat="false" ht="15" hidden="false" customHeight="false" outlineLevel="0" collapsed="false">
      <c r="A70" s="5" t="s">
        <v>103</v>
      </c>
      <c r="B70" s="5" t="n">
        <f aca="false">COUNTA(Ответы!$F$2:$F$14)</f>
        <v>13</v>
      </c>
      <c r="C70" s="11" t="s">
        <v>111</v>
      </c>
    </row>
    <row r="71" customFormat="false" ht="15" hidden="false" customHeight="false" outlineLevel="0" collapsed="false">
      <c r="A71" s="6" t="s">
        <v>104</v>
      </c>
      <c r="B71" s="7" t="s">
        <v>105</v>
      </c>
      <c r="C71" s="7" t="s">
        <v>106</v>
      </c>
    </row>
    <row r="72" customFormat="false" ht="15" hidden="false" customHeight="false" outlineLevel="0" collapsed="false">
      <c r="A72" s="8" t="s">
        <v>19</v>
      </c>
      <c r="B72" s="9" t="n">
        <f aca="false">COUNTIF(Ответы!$F$2:$F$14,"*"&amp;A72&amp;"*")</f>
        <v>8</v>
      </c>
      <c r="C72" s="10" t="n">
        <f aca="false">B72/$B$70</f>
        <v>0.615384615384615</v>
      </c>
    </row>
    <row r="73" customFormat="false" ht="15" hidden="false" customHeight="false" outlineLevel="0" collapsed="false">
      <c r="A73" s="8" t="s">
        <v>54</v>
      </c>
      <c r="B73" s="9" t="n">
        <f aca="false">COUNTIF(Ответы!$F$2:$F$14,"*"&amp;A73&amp;"*")</f>
        <v>5</v>
      </c>
      <c r="C73" s="10" t="n">
        <f aca="false">B73/$B$70</f>
        <v>0.384615384615385</v>
      </c>
    </row>
    <row r="74" customFormat="false" ht="15" hidden="false" customHeight="false" outlineLevel="0" collapsed="false">
      <c r="A74" s="8" t="s">
        <v>112</v>
      </c>
      <c r="B74" s="9" t="n">
        <f aca="false">COUNTIF(Ответы!$F$2:$F$14,"*"&amp;A74&amp;"*")</f>
        <v>4</v>
      </c>
      <c r="C74" s="10" t="n">
        <f aca="false">B74/$B$70</f>
        <v>0.307692307692308</v>
      </c>
    </row>
    <row r="75" customFormat="false" ht="15" hidden="false" customHeight="false" outlineLevel="0" collapsed="false">
      <c r="A75" s="8" t="s">
        <v>41</v>
      </c>
      <c r="B75" s="9" t="n">
        <f aca="false">COUNTIF(Ответы!$F$2:$F$14,"*"&amp;A75&amp;"*")</f>
        <v>2</v>
      </c>
      <c r="C75" s="10" t="n">
        <f aca="false">B75/$B$70</f>
        <v>0.153846153846154</v>
      </c>
    </row>
    <row r="76" customFormat="false" ht="15" hidden="false" customHeight="false" outlineLevel="0" collapsed="false">
      <c r="A76" s="8" t="s">
        <v>113</v>
      </c>
      <c r="B76" s="9" t="n">
        <f aca="false">COUNTIF(Ответы!$F$2:$F$14,"*"&amp;A76&amp;"*")</f>
        <v>1</v>
      </c>
      <c r="C76" s="10" t="n">
        <f aca="false">B76/$B$70</f>
        <v>0.0769230769230769</v>
      </c>
    </row>
    <row r="86" customFormat="false" ht="15" hidden="false" customHeight="false" outlineLevel="0" collapsed="false">
      <c r="A86" s="4" t="s">
        <v>114</v>
      </c>
    </row>
    <row r="87" customFormat="false" ht="15" hidden="false" customHeight="false" outlineLevel="0" collapsed="false">
      <c r="A87" s="5" t="s">
        <v>103</v>
      </c>
      <c r="B87" s="5" t="n">
        <f aca="false">COUNTA(Ответы!$G$2:$G$14)</f>
        <v>13</v>
      </c>
      <c r="C87" s="11" t="s">
        <v>111</v>
      </c>
    </row>
    <row r="88" customFormat="false" ht="15" hidden="false" customHeight="false" outlineLevel="0" collapsed="false">
      <c r="A88" s="6" t="s">
        <v>104</v>
      </c>
      <c r="B88" s="7" t="s">
        <v>105</v>
      </c>
      <c r="C88" s="7" t="s">
        <v>106</v>
      </c>
    </row>
    <row r="89" customFormat="false" ht="15" hidden="false" customHeight="false" outlineLevel="0" collapsed="false">
      <c r="A89" s="8" t="s">
        <v>20</v>
      </c>
      <c r="B89" s="9" t="n">
        <f aca="false">COUNTIF(Ответы!$G$2:$G$14,"*"&amp;A89&amp;"*")</f>
        <v>6</v>
      </c>
      <c r="C89" s="10" t="n">
        <f aca="false">B89/$B$87</f>
        <v>0.461538461538462</v>
      </c>
    </row>
    <row r="90" customFormat="false" ht="15" hidden="false" customHeight="false" outlineLevel="0" collapsed="false">
      <c r="A90" s="8" t="s">
        <v>33</v>
      </c>
      <c r="B90" s="9" t="n">
        <f aca="false">COUNTIF(Ответы!$G$2:$G$14,"*"&amp;A90&amp;"*")</f>
        <v>6</v>
      </c>
      <c r="C90" s="10" t="n">
        <f aca="false">B90/$B$87</f>
        <v>0.461538461538462</v>
      </c>
    </row>
    <row r="91" customFormat="false" ht="15" hidden="false" customHeight="false" outlineLevel="0" collapsed="false">
      <c r="A91" s="8" t="s">
        <v>115</v>
      </c>
      <c r="B91" s="9" t="n">
        <f aca="false">COUNTIF(Ответы!$G$2:$G$14,"*"&amp;A91&amp;"*")</f>
        <v>4</v>
      </c>
      <c r="C91" s="10" t="n">
        <f aca="false">B91/$B$87</f>
        <v>0.307692307692308</v>
      </c>
    </row>
    <row r="92" customFormat="false" ht="15" hidden="false" customHeight="false" outlineLevel="0" collapsed="false">
      <c r="A92" s="8" t="s">
        <v>96</v>
      </c>
      <c r="B92" s="9" t="n">
        <f aca="false">COUNTIF(Ответы!$G$2:$G$14,"*"&amp;A92&amp;"*")</f>
        <v>3</v>
      </c>
      <c r="C92" s="10" t="n">
        <f aca="false">B92/$B$87</f>
        <v>0.230769230769231</v>
      </c>
    </row>
    <row r="93" customFormat="false" ht="15" hidden="false" customHeight="false" outlineLevel="0" collapsed="false">
      <c r="A93" s="8" t="s">
        <v>61</v>
      </c>
      <c r="B93" s="9" t="n">
        <f aca="false">COUNTIF(Ответы!$G$2:$G$14,"*"&amp;A93&amp;"*")</f>
        <v>3</v>
      </c>
      <c r="C93" s="10" t="n">
        <f aca="false">B93/$B$87</f>
        <v>0.230769230769231</v>
      </c>
    </row>
    <row r="103" customFormat="false" ht="15" hidden="false" customHeight="false" outlineLevel="0" collapsed="false">
      <c r="A103" s="4" t="s">
        <v>116</v>
      </c>
    </row>
    <row r="104" customFormat="false" ht="15" hidden="false" customHeight="false" outlineLevel="0" collapsed="false">
      <c r="A104" s="5" t="s">
        <v>103</v>
      </c>
      <c r="B104" s="5" t="n">
        <f aca="false">COUNTA(Ответы!$H$2:$H$14)</f>
        <v>13</v>
      </c>
      <c r="C104" s="11" t="s">
        <v>111</v>
      </c>
    </row>
    <row r="105" customFormat="false" ht="15" hidden="false" customHeight="false" outlineLevel="0" collapsed="false">
      <c r="A105" s="6" t="s">
        <v>104</v>
      </c>
      <c r="B105" s="7" t="s">
        <v>105</v>
      </c>
      <c r="C105" s="7" t="s">
        <v>106</v>
      </c>
    </row>
    <row r="106" customFormat="false" ht="15" hidden="false" customHeight="false" outlineLevel="0" collapsed="false">
      <c r="A106" s="8" t="s">
        <v>21</v>
      </c>
      <c r="B106" s="9" t="n">
        <f aca="false">COUNTIF(Ответы!$H$2:$H$14,"*"&amp;A106&amp;"*")</f>
        <v>8</v>
      </c>
      <c r="C106" s="10" t="n">
        <f aca="false">B106/$B$104</f>
        <v>0.615384615384615</v>
      </c>
    </row>
    <row r="107" customFormat="false" ht="15" hidden="false" customHeight="false" outlineLevel="0" collapsed="false">
      <c r="A107" s="8" t="s">
        <v>117</v>
      </c>
      <c r="B107" s="9" t="n">
        <f aca="false">COUNTIF(Ответы!$H$2:$H$14,"*"&amp;A107&amp;"*")</f>
        <v>5</v>
      </c>
      <c r="C107" s="10" t="n">
        <f aca="false">B107/$B$104</f>
        <v>0.384615384615385</v>
      </c>
    </row>
    <row r="108" customFormat="false" ht="15" hidden="false" customHeight="false" outlineLevel="0" collapsed="false">
      <c r="A108" s="8" t="s">
        <v>34</v>
      </c>
      <c r="B108" s="9" t="n">
        <f aca="false">COUNTIF(Ответы!$H$2:$H$14,"*"&amp;A108&amp;"*")</f>
        <v>4</v>
      </c>
      <c r="C108" s="10" t="n">
        <f aca="false">B108/$B$104</f>
        <v>0.307692307692308</v>
      </c>
    </row>
    <row r="109" customFormat="false" ht="15" hidden="false" customHeight="false" outlineLevel="0" collapsed="false">
      <c r="A109" s="8" t="s">
        <v>42</v>
      </c>
      <c r="B109" s="9" t="n">
        <f aca="false">COUNTIF(Ответы!$H$2:$H$14,"*"&amp;A109&amp;"*")</f>
        <v>4</v>
      </c>
      <c r="C109" s="10" t="n">
        <f aca="false">B109/$B$104</f>
        <v>0.307692307692308</v>
      </c>
    </row>
    <row r="110" customFormat="false" ht="15" hidden="false" customHeight="false" outlineLevel="0" collapsed="false">
      <c r="A110" s="8" t="s">
        <v>118</v>
      </c>
      <c r="B110" s="9" t="n">
        <f aca="false">COUNTIF(Ответы!$H$2:$H$14,"*"&amp;A110&amp;"*")</f>
        <v>2</v>
      </c>
      <c r="C110" s="10" t="n">
        <f aca="false">B110/$B$104</f>
        <v>0.153846153846154</v>
      </c>
    </row>
    <row r="120" customFormat="false" ht="15" hidden="false" customHeight="false" outlineLevel="0" collapsed="false">
      <c r="A120" s="4" t="s">
        <v>119</v>
      </c>
    </row>
    <row r="121" customFormat="false" ht="15" hidden="false" customHeight="false" outlineLevel="0" collapsed="false">
      <c r="A121" s="5" t="s">
        <v>103</v>
      </c>
      <c r="B121" s="5" t="n">
        <f aca="false">COUNTA(Ответы!$I$2:$I$14)</f>
        <v>13</v>
      </c>
      <c r="C121" s="11" t="s">
        <v>111</v>
      </c>
    </row>
    <row r="122" customFormat="false" ht="15" hidden="false" customHeight="false" outlineLevel="0" collapsed="false">
      <c r="A122" s="6" t="s">
        <v>104</v>
      </c>
      <c r="B122" s="7" t="s">
        <v>105</v>
      </c>
      <c r="C122" s="7" t="s">
        <v>106</v>
      </c>
    </row>
    <row r="123" customFormat="false" ht="15" hidden="false" customHeight="false" outlineLevel="0" collapsed="false">
      <c r="A123" s="8" t="s">
        <v>22</v>
      </c>
      <c r="B123" s="9" t="n">
        <f aca="false">COUNTIF(Ответы!$I$2:$I$14,"*"&amp;A123&amp;"*")</f>
        <v>6</v>
      </c>
      <c r="C123" s="10" t="n">
        <f aca="false">B123/$B$121</f>
        <v>0.461538461538462</v>
      </c>
    </row>
    <row r="124" customFormat="false" ht="15" hidden="false" customHeight="false" outlineLevel="0" collapsed="false">
      <c r="A124" s="8" t="s">
        <v>43</v>
      </c>
      <c r="B124" s="9" t="n">
        <f aca="false">COUNTIF(Ответы!$I$2:$I$14,"*"&amp;A124&amp;"*")</f>
        <v>6</v>
      </c>
      <c r="C124" s="10" t="n">
        <f aca="false">B124/$B$121</f>
        <v>0.461538461538462</v>
      </c>
    </row>
    <row r="125" customFormat="false" ht="15" hidden="false" customHeight="false" outlineLevel="0" collapsed="false">
      <c r="A125" s="8" t="s">
        <v>87</v>
      </c>
      <c r="B125" s="9" t="n">
        <f aca="false">COUNTIF(Ответы!$I$2:$I$14,"*"&amp;A125&amp;"*")</f>
        <v>5</v>
      </c>
      <c r="C125" s="10" t="n">
        <f aca="false">B125/$B$121</f>
        <v>0.384615384615385</v>
      </c>
    </row>
    <row r="126" customFormat="false" ht="15" hidden="false" customHeight="false" outlineLevel="0" collapsed="false">
      <c r="A126" s="8" t="s">
        <v>35</v>
      </c>
      <c r="B126" s="9" t="n">
        <f aca="false">COUNTIF(Ответы!$I$2:$I$14,"*"&amp;A126&amp;"*")</f>
        <v>4</v>
      </c>
      <c r="C126" s="10" t="n">
        <f aca="false">B126/$B$121</f>
        <v>0.307692307692308</v>
      </c>
    </row>
    <row r="127" customFormat="false" ht="15" hidden="false" customHeight="false" outlineLevel="0" collapsed="false">
      <c r="A127" s="8" t="s">
        <v>120</v>
      </c>
      <c r="B127" s="9" t="n">
        <f aca="false">COUNTIF(Ответы!$I$2:$I$14,"*"&amp;A127&amp;"*")</f>
        <v>3</v>
      </c>
      <c r="C127" s="10" t="n">
        <f aca="false">B127/$B$121</f>
        <v>0.230769230769231</v>
      </c>
    </row>
    <row r="128" customFormat="false" ht="15" hidden="false" customHeight="false" outlineLevel="0" collapsed="false">
      <c r="A128" s="8" t="s">
        <v>121</v>
      </c>
      <c r="B128" s="9" t="n">
        <f aca="false">COUNTIF(Ответы!$I$2:$I$14,"*"&amp;A128&amp;"*")</f>
        <v>1</v>
      </c>
      <c r="C128" s="10" t="n">
        <f aca="false">B128/$B$121</f>
        <v>0.0769230769230769</v>
      </c>
    </row>
    <row r="137" customFormat="false" ht="15" hidden="false" customHeight="false" outlineLevel="0" collapsed="false">
      <c r="A137" s="4" t="s">
        <v>122</v>
      </c>
    </row>
    <row r="138" customFormat="false" ht="15" hidden="false" customHeight="false" outlineLevel="0" collapsed="false">
      <c r="A138" s="5" t="s">
        <v>103</v>
      </c>
      <c r="B138" s="5" t="n">
        <f aca="false">COUNTA(Ответы!$J$2:$J$14)</f>
        <v>13</v>
      </c>
    </row>
    <row r="139" customFormat="false" ht="15" hidden="false" customHeight="false" outlineLevel="0" collapsed="false">
      <c r="A139" s="6" t="s">
        <v>104</v>
      </c>
      <c r="B139" s="7" t="s">
        <v>105</v>
      </c>
      <c r="C139" s="7" t="s">
        <v>106</v>
      </c>
    </row>
    <row r="140" customFormat="false" ht="15" hidden="false" customHeight="false" outlineLevel="0" collapsed="false">
      <c r="A140" s="8" t="s">
        <v>23</v>
      </c>
      <c r="B140" s="9" t="n">
        <f aca="false">COUNTIF(Ответы!$J$2:$J$14,A140)</f>
        <v>7</v>
      </c>
      <c r="C140" s="10" t="n">
        <f aca="false">B140/$B$138</f>
        <v>0.538461538461538</v>
      </c>
    </row>
    <row r="141" customFormat="false" ht="15" hidden="false" customHeight="false" outlineLevel="0" collapsed="false">
      <c r="A141" s="8" t="s">
        <v>58</v>
      </c>
      <c r="B141" s="9" t="n">
        <f aca="false">COUNTIF(Ответы!$J$2:$J$14,A141)</f>
        <v>3</v>
      </c>
      <c r="C141" s="10" t="n">
        <f aca="false">B141/$B$138</f>
        <v>0.230769230769231</v>
      </c>
    </row>
    <row r="142" customFormat="false" ht="15" hidden="false" customHeight="false" outlineLevel="0" collapsed="false">
      <c r="A142" s="8" t="s">
        <v>69</v>
      </c>
      <c r="B142" s="9" t="n">
        <f aca="false">COUNTIF(Ответы!$J$2:$J$14,A142)</f>
        <v>2</v>
      </c>
      <c r="C142" s="10" t="n">
        <f aca="false">B142/$B$138</f>
        <v>0.153846153846154</v>
      </c>
    </row>
    <row r="143" customFormat="false" ht="15" hidden="false" customHeight="false" outlineLevel="0" collapsed="false">
      <c r="A143" s="8" t="s">
        <v>82</v>
      </c>
      <c r="B143" s="9" t="n">
        <f aca="false">COUNTIF(Ответы!$J$2:$J$14,A143)</f>
        <v>1</v>
      </c>
      <c r="C143" s="10" t="n">
        <f aca="false">B143/$B$138</f>
        <v>0.0769230769230769</v>
      </c>
    </row>
    <row r="154" customFormat="false" ht="15" hidden="false" customHeight="false" outlineLevel="0" collapsed="false">
      <c r="A154" s="4" t="s">
        <v>123</v>
      </c>
    </row>
    <row r="155" customFormat="false" ht="15" hidden="false" customHeight="false" outlineLevel="0" collapsed="false">
      <c r="A155" s="5" t="s">
        <v>103</v>
      </c>
      <c r="B155" s="5" t="n">
        <f aca="false">COUNTA(Ответы!$K$2:$K$14)</f>
        <v>13</v>
      </c>
      <c r="C155" s="11" t="s">
        <v>111</v>
      </c>
    </row>
    <row r="156" customFormat="false" ht="15" hidden="false" customHeight="false" outlineLevel="0" collapsed="false">
      <c r="A156" s="6" t="s">
        <v>104</v>
      </c>
      <c r="B156" s="7" t="s">
        <v>105</v>
      </c>
      <c r="C156" s="7" t="s">
        <v>106</v>
      </c>
    </row>
    <row r="157" customFormat="false" ht="15" hidden="false" customHeight="false" outlineLevel="0" collapsed="false">
      <c r="A157" s="8" t="s">
        <v>36</v>
      </c>
      <c r="B157" s="9" t="n">
        <f aca="false">COUNTIF(Ответы!$K$2:$K$14,"*"&amp;A157&amp;"*")</f>
        <v>7</v>
      </c>
      <c r="C157" s="10" t="n">
        <f aca="false">B157/$B$155</f>
        <v>0.538461538461538</v>
      </c>
    </row>
    <row r="158" customFormat="false" ht="15" hidden="false" customHeight="false" outlineLevel="0" collapsed="false">
      <c r="A158" s="8" t="s">
        <v>124</v>
      </c>
      <c r="B158" s="9" t="n">
        <f aca="false">COUNTIF(Ответы!$K$2:$K$14,"*"&amp;A158&amp;"*")</f>
        <v>4</v>
      </c>
      <c r="C158" s="10" t="n">
        <f aca="false">B158/$B$155</f>
        <v>0.307692307692308</v>
      </c>
    </row>
    <row r="159" customFormat="false" ht="15" hidden="false" customHeight="false" outlineLevel="0" collapsed="false">
      <c r="A159" s="8" t="s">
        <v>70</v>
      </c>
      <c r="B159" s="9" t="n">
        <f aca="false">COUNTIF(Ответы!$K$2:$K$14,"*"&amp;A159&amp;"*")</f>
        <v>4</v>
      </c>
      <c r="C159" s="10" t="n">
        <f aca="false">B159/$B$155</f>
        <v>0.307692307692308</v>
      </c>
    </row>
    <row r="160" customFormat="false" ht="26.85" hidden="false" customHeight="false" outlineLevel="0" collapsed="false">
      <c r="A160" s="8" t="s">
        <v>92</v>
      </c>
      <c r="B160" s="9" t="n">
        <f aca="false">COUNTIF(Ответы!$K$2:$K$14,"*"&amp;A160&amp;"*")</f>
        <v>3</v>
      </c>
      <c r="C160" s="10" t="n">
        <f aca="false">B160/$B$155</f>
        <v>0.230769230769231</v>
      </c>
    </row>
    <row r="161" customFormat="false" ht="15" hidden="false" customHeight="false" outlineLevel="0" collapsed="false">
      <c r="A161" s="8" t="s">
        <v>125</v>
      </c>
      <c r="B161" s="9" t="n">
        <f aca="false">COUNTIF(Ответы!$K$2:$K$14,"*"&amp;A161&amp;"*")</f>
        <v>3</v>
      </c>
      <c r="C161" s="10" t="n">
        <f aca="false">B161/$B$155</f>
        <v>0.230769230769231</v>
      </c>
    </row>
    <row r="162" customFormat="false" ht="15" hidden="false" customHeight="false" outlineLevel="0" collapsed="false">
      <c r="A162" s="8" t="s">
        <v>126</v>
      </c>
      <c r="B162" s="9" t="n">
        <f aca="false">COUNTIF(Ответы!$K$2:$K$14,"*"&amp;A162&amp;"*")</f>
        <v>3</v>
      </c>
      <c r="C162" s="10" t="n">
        <f aca="false">B162/$B$155</f>
        <v>0.230769230769231</v>
      </c>
    </row>
    <row r="171" customFormat="false" ht="15" hidden="false" customHeight="false" outlineLevel="0" collapsed="false">
      <c r="A171" s="4" t="s">
        <v>127</v>
      </c>
    </row>
    <row r="172" customFormat="false" ht="15" hidden="false" customHeight="false" outlineLevel="0" collapsed="false">
      <c r="A172" s="5" t="s">
        <v>103</v>
      </c>
      <c r="B172" s="5" t="n">
        <f aca="false">COUNTA(Ответы!$L$2:$L$14)</f>
        <v>13</v>
      </c>
      <c r="C172" s="11" t="s">
        <v>111</v>
      </c>
    </row>
    <row r="173" customFormat="false" ht="15" hidden="false" customHeight="false" outlineLevel="0" collapsed="false">
      <c r="A173" s="6" t="s">
        <v>104</v>
      </c>
      <c r="B173" s="7" t="s">
        <v>105</v>
      </c>
      <c r="C173" s="7" t="s">
        <v>106</v>
      </c>
    </row>
    <row r="174" customFormat="false" ht="15" hidden="false" customHeight="false" outlineLevel="0" collapsed="false">
      <c r="A174" s="8" t="s">
        <v>128</v>
      </c>
      <c r="B174" s="9" t="n">
        <f aca="false">COUNTIF(Ответы!$L$2:$L$14,"*"&amp;A174&amp;"*")</f>
        <v>9</v>
      </c>
      <c r="C174" s="10" t="n">
        <f aca="false">B174/$B$172</f>
        <v>0.692307692307692</v>
      </c>
    </row>
    <row r="175" customFormat="false" ht="15" hidden="false" customHeight="false" outlineLevel="0" collapsed="false">
      <c r="A175" s="8" t="s">
        <v>25</v>
      </c>
      <c r="B175" s="9" t="n">
        <f aca="false">COUNTIF(Ответы!$L$2:$L$14,"*"&amp;A175&amp;"*")</f>
        <v>6</v>
      </c>
      <c r="C175" s="10" t="n">
        <f aca="false">B175/$B$172</f>
        <v>0.461538461538462</v>
      </c>
    </row>
    <row r="176" customFormat="false" ht="15" hidden="false" customHeight="false" outlineLevel="0" collapsed="false">
      <c r="A176" s="8" t="s">
        <v>129</v>
      </c>
      <c r="B176" s="9" t="n">
        <f aca="false">COUNTIF(Ответы!$L$2:$L$14,"*"&amp;A176&amp;"*")</f>
        <v>5</v>
      </c>
      <c r="C176" s="10" t="n">
        <f aca="false">B176/$B$172</f>
        <v>0.384615384615385</v>
      </c>
    </row>
    <row r="177" customFormat="false" ht="15" hidden="false" customHeight="false" outlineLevel="0" collapsed="false">
      <c r="A177" s="8" t="s">
        <v>130</v>
      </c>
      <c r="B177" s="9" t="n">
        <f aca="false">COUNTIF(Ответы!$L$2:$L$14,"*"&amp;A177&amp;"*")</f>
        <v>5</v>
      </c>
      <c r="C177" s="10" t="n">
        <f aca="false">B177/$B$172</f>
        <v>0.384615384615385</v>
      </c>
    </row>
    <row r="178" customFormat="false" ht="15" hidden="false" customHeight="false" outlineLevel="0" collapsed="false">
      <c r="A178" s="8" t="s">
        <v>44</v>
      </c>
      <c r="B178" s="9" t="n">
        <f aca="false">COUNTIF(Ответы!$L$2:$L$14,"*"&amp;A178&amp;"*")</f>
        <v>4</v>
      </c>
      <c r="C178" s="10" t="n">
        <f aca="false">B178/$B$172</f>
        <v>0.307692307692308</v>
      </c>
    </row>
    <row r="179" customFormat="false" ht="15" hidden="false" customHeight="false" outlineLevel="0" collapsed="false">
      <c r="A179" s="8" t="s">
        <v>131</v>
      </c>
      <c r="B179" s="9" t="n">
        <f aca="false">COUNTIF(Ответы!$L$2:$L$14,"*"&amp;A179&amp;"*")</f>
        <v>3</v>
      </c>
      <c r="C179" s="10" t="n">
        <f aca="false">B179/$B$172</f>
        <v>0.230769230769231</v>
      </c>
    </row>
    <row r="180" customFormat="false" ht="15" hidden="false" customHeight="false" outlineLevel="0" collapsed="false">
      <c r="A180" s="8" t="s">
        <v>132</v>
      </c>
      <c r="B180" s="9" t="n">
        <f aca="false">COUNTIF(Ответы!$L$2:$L$14,"*"&amp;A180&amp;"*")</f>
        <v>2</v>
      </c>
      <c r="C180" s="10" t="n">
        <f aca="false">B180/$B$172</f>
        <v>0.153846153846154</v>
      </c>
    </row>
    <row r="181" customFormat="false" ht="15" hidden="false" customHeight="false" outlineLevel="0" collapsed="false">
      <c r="A181" s="8" t="s">
        <v>133</v>
      </c>
      <c r="B181" s="9" t="n">
        <f aca="false">COUNTIF(Ответы!$L$2:$L$14,"*"&amp;A181&amp;"*")</f>
        <v>2</v>
      </c>
      <c r="C181" s="10" t="n">
        <f aca="false">B181/$B$172</f>
        <v>0.153846153846154</v>
      </c>
    </row>
    <row r="182" customFormat="false" ht="15" hidden="false" customHeight="false" outlineLevel="0" collapsed="false">
      <c r="A182" s="8" t="s">
        <v>134</v>
      </c>
      <c r="B182" s="9" t="n">
        <f aca="false">COUNTIF(Ответы!$L$2:$L$14,"*"&amp;A182&amp;"*")</f>
        <v>1</v>
      </c>
      <c r="C182" s="10" t="n">
        <f aca="false">B182/$B$172</f>
        <v>0.0769230769230769</v>
      </c>
    </row>
    <row r="191" customFormat="false" ht="15" hidden="false" customHeight="false" outlineLevel="0" collapsed="false">
      <c r="A191" s="4" t="s">
        <v>135</v>
      </c>
    </row>
    <row r="192" customFormat="false" ht="15" hidden="false" customHeight="false" outlineLevel="0" collapsed="false">
      <c r="A192" s="5" t="s">
        <v>103</v>
      </c>
      <c r="B192" s="5" t="n">
        <f aca="false">COUNTA(Ответы!$M$2:$M$14)</f>
        <v>13</v>
      </c>
    </row>
    <row r="193" customFormat="false" ht="15" hidden="false" customHeight="false" outlineLevel="0" collapsed="false">
      <c r="A193" s="6" t="s">
        <v>104</v>
      </c>
      <c r="B193" s="7" t="s">
        <v>105</v>
      </c>
      <c r="C193" s="7" t="s">
        <v>106</v>
      </c>
    </row>
    <row r="194" customFormat="false" ht="15" hidden="false" customHeight="false" outlineLevel="0" collapsed="false">
      <c r="A194" s="8" t="s">
        <v>26</v>
      </c>
      <c r="B194" s="9" t="n">
        <f aca="false">COUNTIF(Ответы!$M$2:$M$14,A194)</f>
        <v>5</v>
      </c>
      <c r="C194" s="10" t="n">
        <f aca="false">B194/$B$192</f>
        <v>0.384615384615385</v>
      </c>
    </row>
    <row r="195" customFormat="false" ht="15" hidden="false" customHeight="false" outlineLevel="0" collapsed="false">
      <c r="A195" s="8" t="s">
        <v>45</v>
      </c>
      <c r="B195" s="9" t="n">
        <f aca="false">COUNTIF(Ответы!$M$2:$M$14,A195)</f>
        <v>3</v>
      </c>
      <c r="C195" s="10" t="n">
        <f aca="false">B195/$B$192</f>
        <v>0.230769230769231</v>
      </c>
    </row>
    <row r="196" customFormat="false" ht="15" hidden="false" customHeight="false" outlineLevel="0" collapsed="false">
      <c r="A196" s="8" t="s">
        <v>51</v>
      </c>
      <c r="B196" s="9" t="n">
        <f aca="false">COUNTIF(Ответы!$M$2:$M$14,A196)</f>
        <v>3</v>
      </c>
      <c r="C196" s="10" t="n">
        <f aca="false">B196/$B$192</f>
        <v>0.230769230769231</v>
      </c>
    </row>
    <row r="197" customFormat="false" ht="15" hidden="false" customHeight="false" outlineLevel="0" collapsed="false">
      <c r="A197" s="8" t="s">
        <v>38</v>
      </c>
      <c r="B197" s="9" t="n">
        <f aca="false">COUNTIF(Ответы!$M$2:$M$14,A197)</f>
        <v>2</v>
      </c>
      <c r="C197" s="10" t="n">
        <f aca="false">B197/$B$192</f>
        <v>0.153846153846154</v>
      </c>
    </row>
    <row r="208" customFormat="false" ht="15" hidden="false" customHeight="false" outlineLevel="0" collapsed="false">
      <c r="A208" s="4" t="s">
        <v>136</v>
      </c>
    </row>
    <row r="209" customFormat="false" ht="15" hidden="false" customHeight="false" outlineLevel="0" collapsed="false">
      <c r="A209" s="5" t="s">
        <v>103</v>
      </c>
      <c r="B209" s="5" t="n">
        <f aca="false">COUNTA(Ответы!$N$2:$N$14)</f>
        <v>13</v>
      </c>
      <c r="C209" s="11" t="s">
        <v>111</v>
      </c>
    </row>
    <row r="210" customFormat="false" ht="15" hidden="false" customHeight="false" outlineLevel="0" collapsed="false">
      <c r="A210" s="6" t="s">
        <v>104</v>
      </c>
      <c r="B210" s="7" t="s">
        <v>105</v>
      </c>
      <c r="C210" s="7" t="s">
        <v>106</v>
      </c>
    </row>
    <row r="211" customFormat="false" ht="26.85" hidden="false" customHeight="false" outlineLevel="0" collapsed="false">
      <c r="A211" s="8" t="s">
        <v>137</v>
      </c>
      <c r="B211" s="9" t="n">
        <f aca="false">COUNTIF(Ответы!$N$2:$N$14,"*"&amp;A211&amp;"*")</f>
        <v>8</v>
      </c>
      <c r="C211" s="10" t="n">
        <f aca="false">B211/$B$209</f>
        <v>0.615384615384615</v>
      </c>
    </row>
    <row r="212" customFormat="false" ht="15" hidden="false" customHeight="false" outlineLevel="0" collapsed="false">
      <c r="A212" s="8" t="s">
        <v>27</v>
      </c>
      <c r="B212" s="9" t="n">
        <f aca="false">COUNTIF(Ответы!$N$2:$N$14,"*"&amp;A212&amp;"*")</f>
        <v>8</v>
      </c>
      <c r="C212" s="10" t="n">
        <f aca="false">B212/$B$209</f>
        <v>0.615384615384615</v>
      </c>
    </row>
    <row r="213" customFormat="false" ht="15" hidden="false" customHeight="false" outlineLevel="0" collapsed="false">
      <c r="A213" s="8" t="s">
        <v>46</v>
      </c>
      <c r="B213" s="9" t="n">
        <f aca="false">COUNTIF(Ответы!$N$2:$N$14,"*"&amp;A213&amp;"*")</f>
        <v>6</v>
      </c>
      <c r="C213" s="10" t="n">
        <f aca="false">B213/$B$209</f>
        <v>0.461538461538462</v>
      </c>
    </row>
    <row r="214" customFormat="false" ht="15" hidden="false" customHeight="false" outlineLevel="0" collapsed="false">
      <c r="A214" s="8" t="s">
        <v>39</v>
      </c>
      <c r="B214" s="9" t="n">
        <f aca="false">COUNTIF(Ответы!$N$2:$N$14,"*"&amp;A214&amp;"*")</f>
        <v>5</v>
      </c>
      <c r="C214" s="10" t="n">
        <f aca="false">B214/$B$209</f>
        <v>0.384615384615385</v>
      </c>
    </row>
    <row r="215" customFormat="false" ht="15" hidden="false" customHeight="false" outlineLevel="0" collapsed="false">
      <c r="A215" s="8" t="s">
        <v>138</v>
      </c>
      <c r="B215" s="9" t="n">
        <f aca="false">COUNTIF(Ответы!$N$2:$N$14,"*"&amp;A215&amp;"*")</f>
        <v>5</v>
      </c>
      <c r="C215" s="10" t="n">
        <f aca="false">B215/$B$209</f>
        <v>0.384615384615385</v>
      </c>
    </row>
    <row r="216" customFormat="false" ht="15" hidden="false" customHeight="false" outlineLevel="0" collapsed="false">
      <c r="A216" s="8" t="s">
        <v>139</v>
      </c>
      <c r="B216" s="9" t="n">
        <f aca="false">COUNTIF(Ответы!$N$2:$N$14,"*"&amp;A216&amp;"*")</f>
        <v>5</v>
      </c>
      <c r="C216" s="10" t="n">
        <f aca="false">B216/$B$209</f>
        <v>0.384615384615385</v>
      </c>
    </row>
    <row r="217" customFormat="false" ht="15" hidden="false" customHeight="false" outlineLevel="0" collapsed="false">
      <c r="A217" s="8" t="s">
        <v>140</v>
      </c>
      <c r="B217" s="9" t="n">
        <f aca="false">COUNTIF(Ответы!$N$2:$N$14,"*"&amp;A217&amp;"*")</f>
        <v>3</v>
      </c>
      <c r="C217" s="10" t="n">
        <f aca="false">B217/$B$209</f>
        <v>0.230769230769231</v>
      </c>
    </row>
    <row r="218" customFormat="false" ht="15" hidden="false" customHeight="false" outlineLevel="0" collapsed="false">
      <c r="A218" s="8" t="s">
        <v>141</v>
      </c>
      <c r="B218" s="9" t="n">
        <f aca="false">COUNTIF(Ответы!$N$2:$N$14,"*"&amp;A218&amp;"*")</f>
        <v>2</v>
      </c>
      <c r="C218" s="10" t="n">
        <f aca="false">B218/$B$209</f>
        <v>0.153846153846154</v>
      </c>
    </row>
    <row r="226" customFormat="false" ht="15" hidden="false" customHeight="false" outlineLevel="0" collapsed="false">
      <c r="A226" s="4" t="s">
        <v>142</v>
      </c>
    </row>
    <row r="227" customFormat="false" ht="15" hidden="false" customHeight="false" outlineLevel="0" collapsed="false">
      <c r="A227" s="5" t="s">
        <v>103</v>
      </c>
      <c r="B227" s="5" t="n">
        <f aca="false">COUNTA(Ответы!$O$2:$O$14)</f>
        <v>13</v>
      </c>
    </row>
    <row r="228" customFormat="false" ht="15" hidden="false" customHeight="false" outlineLevel="0" collapsed="false">
      <c r="A228" s="6" t="s">
        <v>104</v>
      </c>
      <c r="B228" s="7" t="s">
        <v>105</v>
      </c>
      <c r="C228" s="7" t="s">
        <v>106</v>
      </c>
    </row>
    <row r="229" customFormat="false" ht="15" hidden="false" customHeight="false" outlineLevel="0" collapsed="false">
      <c r="A229" s="8" t="s">
        <v>28</v>
      </c>
      <c r="B229" s="9" t="n">
        <f aca="false">COUNTIF(Ответы!$O$2:$O$14,A229)</f>
        <v>9</v>
      </c>
      <c r="C229" s="10" t="n">
        <f aca="false">B229/$B$227</f>
        <v>0.692307692307692</v>
      </c>
    </row>
    <row r="230" customFormat="false" ht="15" hidden="false" customHeight="false" outlineLevel="0" collapsed="false">
      <c r="A230" s="8" t="s">
        <v>47</v>
      </c>
      <c r="B230" s="9" t="n">
        <f aca="false">COUNTIF(Ответы!$O$2:$O$14,A230)</f>
        <v>3</v>
      </c>
      <c r="C230" s="10" t="n">
        <f aca="false">B230/$B$227</f>
        <v>0.230769230769231</v>
      </c>
    </row>
    <row r="231" customFormat="false" ht="15" hidden="false" customHeight="false" outlineLevel="0" collapsed="false">
      <c r="A231" s="8" t="s">
        <v>53</v>
      </c>
      <c r="B231" s="9" t="n">
        <f aca="false">COUNTIF(Ответы!$O$2:$O$14,A231)</f>
        <v>1</v>
      </c>
      <c r="C231" s="10" t="n">
        <f aca="false">B231/$B$227</f>
        <v>0.0769230769230769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2026-10-20T11:35:55Z</dcterms:created>
  <dc:creator>openpyxl</dc:creator>
  <dc:description/>
  <dc:language>en-US</dc:language>
  <cp:lastModifiedBy/>
  <dcterms:modified xsi:type="dcterms:W3CDTF">2026-10-20T11:35:57Z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